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1"/>
  <workbookPr/>
  <mc:AlternateContent xmlns:mc="http://schemas.openxmlformats.org/markup-compatibility/2006">
    <mc:Choice Requires="x15">
      <x15ac:absPath xmlns:x15ac="http://schemas.microsoft.com/office/spreadsheetml/2010/11/ac" url="/Users/andrewlatham/Documents/GitHub/Nup62_depletion_modeling/condensate_model/Surface_tension/analysis/HDX/experimental_concentration/"/>
    </mc:Choice>
  </mc:AlternateContent>
  <xr:revisionPtr revIDLastSave="0" documentId="13_ncr:1_{355E24CE-CCA0-444D-9124-938E9236F232}" xr6:coauthVersionLast="46" xr6:coauthVersionMax="46" xr10:uidLastSave="{00000000-0000-0000-0000-000000000000}"/>
  <bookViews>
    <workbookView xWindow="6300" yWindow="500" windowWidth="28800" windowHeight="16400" activeTab="1" xr2:uid="{00000000-000D-0000-FFFF-FFFF00000000}"/>
  </bookViews>
  <sheets>
    <sheet name="Sheet1" sheetId="3" r:id="rId1"/>
    <sheet name="Sheet2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4" l="1"/>
  <c r="O7" i="4"/>
  <c r="R9" i="4" s="1"/>
  <c r="O3" i="4"/>
  <c r="O2" i="4"/>
  <c r="A2" i="4"/>
  <c r="E2" i="4" s="1"/>
  <c r="J2" i="4" s="1"/>
  <c r="J11" i="4"/>
  <c r="J13" i="4"/>
  <c r="J17" i="4"/>
  <c r="J19" i="4"/>
  <c r="J21" i="4"/>
  <c r="J25" i="4"/>
  <c r="J27" i="4"/>
  <c r="J29" i="4"/>
  <c r="J33" i="4"/>
  <c r="J35" i="4"/>
  <c r="J37" i="4"/>
  <c r="J41" i="4"/>
  <c r="J43" i="4"/>
  <c r="J45" i="4"/>
  <c r="J49" i="4"/>
  <c r="J51" i="4"/>
  <c r="J53" i="4"/>
  <c r="J57" i="4"/>
  <c r="J59" i="4"/>
  <c r="J61" i="4"/>
  <c r="J65" i="4"/>
  <c r="J67" i="4"/>
  <c r="J69" i="4"/>
  <c r="J72" i="4"/>
  <c r="J73" i="4"/>
  <c r="J75" i="4"/>
  <c r="J77" i="4"/>
  <c r="J80" i="4"/>
  <c r="J81" i="4"/>
  <c r="J83" i="4"/>
  <c r="J85" i="4"/>
  <c r="J88" i="4"/>
  <c r="J89" i="4"/>
  <c r="J91" i="4"/>
  <c r="J93" i="4"/>
  <c r="J94" i="4"/>
  <c r="J96" i="4"/>
  <c r="J97" i="4"/>
  <c r="J99" i="4"/>
  <c r="J101" i="4"/>
  <c r="J102" i="4"/>
  <c r="J104" i="4"/>
  <c r="J105" i="4"/>
  <c r="J107" i="4"/>
  <c r="J109" i="4"/>
  <c r="J110" i="4"/>
  <c r="J112" i="4"/>
  <c r="J113" i="4"/>
  <c r="J115" i="4"/>
  <c r="J117" i="4"/>
  <c r="J118" i="4"/>
  <c r="J120" i="4"/>
  <c r="J121" i="4"/>
  <c r="G7" i="4"/>
  <c r="J10" i="4" s="1"/>
  <c r="G3" i="4"/>
  <c r="G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R120" i="4" l="1"/>
  <c r="R104" i="4"/>
  <c r="R88" i="4"/>
  <c r="R72" i="4"/>
  <c r="R56" i="4"/>
  <c r="R40" i="4"/>
  <c r="R24" i="4"/>
  <c r="R8" i="4"/>
  <c r="R111" i="4"/>
  <c r="R87" i="4"/>
  <c r="R71" i="4"/>
  <c r="R47" i="4"/>
  <c r="R15" i="4"/>
  <c r="R118" i="4"/>
  <c r="R110" i="4"/>
  <c r="R102" i="4"/>
  <c r="R94" i="4"/>
  <c r="R86" i="4"/>
  <c r="R78" i="4"/>
  <c r="R70" i="4"/>
  <c r="R62" i="4"/>
  <c r="R54" i="4"/>
  <c r="R46" i="4"/>
  <c r="R38" i="4"/>
  <c r="R30" i="4"/>
  <c r="R22" i="4"/>
  <c r="R14" i="4"/>
  <c r="R6" i="4"/>
  <c r="R112" i="4"/>
  <c r="R96" i="4"/>
  <c r="R80" i="4"/>
  <c r="R64" i="4"/>
  <c r="R48" i="4"/>
  <c r="R32" i="4"/>
  <c r="R16" i="4"/>
  <c r="R119" i="4"/>
  <c r="R103" i="4"/>
  <c r="R95" i="4"/>
  <c r="R79" i="4"/>
  <c r="R63" i="4"/>
  <c r="R55" i="4"/>
  <c r="R39" i="4"/>
  <c r="R31" i="4"/>
  <c r="R23" i="4"/>
  <c r="R7" i="4"/>
  <c r="R117" i="4"/>
  <c r="R109" i="4"/>
  <c r="R101" i="4"/>
  <c r="R93" i="4"/>
  <c r="R85" i="4"/>
  <c r="R77" i="4"/>
  <c r="R69" i="4"/>
  <c r="R61" i="4"/>
  <c r="R53" i="4"/>
  <c r="R45" i="4"/>
  <c r="R37" i="4"/>
  <c r="R29" i="4"/>
  <c r="R21" i="4"/>
  <c r="R13" i="4"/>
  <c r="R5" i="4"/>
  <c r="R92" i="4"/>
  <c r="R76" i="4"/>
  <c r="R52" i="4"/>
  <c r="R36" i="4"/>
  <c r="R12" i="4"/>
  <c r="R4" i="4"/>
  <c r="R108" i="4"/>
  <c r="R68" i="4"/>
  <c r="R28" i="4"/>
  <c r="R2" i="4"/>
  <c r="R115" i="4"/>
  <c r="R107" i="4"/>
  <c r="R99" i="4"/>
  <c r="R91" i="4"/>
  <c r="R83" i="4"/>
  <c r="R75" i="4"/>
  <c r="R67" i="4"/>
  <c r="R59" i="4"/>
  <c r="R51" i="4"/>
  <c r="R43" i="4"/>
  <c r="R35" i="4"/>
  <c r="R27" i="4"/>
  <c r="R19" i="4"/>
  <c r="R11" i="4"/>
  <c r="R3" i="4"/>
  <c r="R66" i="4"/>
  <c r="R58" i="4"/>
  <c r="R50" i="4"/>
  <c r="R42" i="4"/>
  <c r="R34" i="4"/>
  <c r="R18" i="4"/>
  <c r="R10" i="4"/>
  <c r="R116" i="4"/>
  <c r="R100" i="4"/>
  <c r="R84" i="4"/>
  <c r="R60" i="4"/>
  <c r="R44" i="4"/>
  <c r="R20" i="4"/>
  <c r="R122" i="4"/>
  <c r="R114" i="4"/>
  <c r="R106" i="4"/>
  <c r="R98" i="4"/>
  <c r="R90" i="4"/>
  <c r="R82" i="4"/>
  <c r="R74" i="4"/>
  <c r="R26" i="4"/>
  <c r="R121" i="4"/>
  <c r="R113" i="4"/>
  <c r="R105" i="4"/>
  <c r="R97" i="4"/>
  <c r="R89" i="4"/>
  <c r="R81" i="4"/>
  <c r="R73" i="4"/>
  <c r="R65" i="4"/>
  <c r="R57" i="4"/>
  <c r="R49" i="4"/>
  <c r="R41" i="4"/>
  <c r="R33" i="4"/>
  <c r="R25" i="4"/>
  <c r="R17" i="4"/>
  <c r="J9" i="4"/>
  <c r="J64" i="4"/>
  <c r="J56" i="4"/>
  <c r="J48" i="4"/>
  <c r="J40" i="4"/>
  <c r="J32" i="4"/>
  <c r="J24" i="4"/>
  <c r="J16" i="4"/>
  <c r="J8" i="4"/>
  <c r="J119" i="4"/>
  <c r="J111" i="4"/>
  <c r="J103" i="4"/>
  <c r="J95" i="4"/>
  <c r="J87" i="4"/>
  <c r="J79" i="4"/>
  <c r="J71" i="4"/>
  <c r="J63" i="4"/>
  <c r="J55" i="4"/>
  <c r="J47" i="4"/>
  <c r="J39" i="4"/>
  <c r="J31" i="4"/>
  <c r="J23" i="4"/>
  <c r="J15" i="4"/>
  <c r="J7" i="4"/>
  <c r="J86" i="4"/>
  <c r="J78" i="4"/>
  <c r="J70" i="4"/>
  <c r="J62" i="4"/>
  <c r="J54" i="4"/>
  <c r="J46" i="4"/>
  <c r="J38" i="4"/>
  <c r="J30" i="4"/>
  <c r="J22" i="4"/>
  <c r="J14" i="4"/>
  <c r="J6" i="4"/>
  <c r="J5" i="4"/>
  <c r="J116" i="4"/>
  <c r="J108" i="4"/>
  <c r="J100" i="4"/>
  <c r="J92" i="4"/>
  <c r="J84" i="4"/>
  <c r="J76" i="4"/>
  <c r="J68" i="4"/>
  <c r="J60" i="4"/>
  <c r="J52" i="4"/>
  <c r="J44" i="4"/>
  <c r="J36" i="4"/>
  <c r="J28" i="4"/>
  <c r="J20" i="4"/>
  <c r="J12" i="4"/>
  <c r="J4" i="4"/>
  <c r="J3" i="4"/>
  <c r="L2" i="4" s="1"/>
  <c r="J122" i="4"/>
  <c r="J114" i="4"/>
  <c r="J106" i="4"/>
  <c r="J98" i="4"/>
  <c r="J90" i="4"/>
  <c r="J82" i="4"/>
  <c r="J74" i="4"/>
  <c r="J66" i="4"/>
  <c r="J58" i="4"/>
  <c r="J50" i="4"/>
  <c r="J42" i="4"/>
  <c r="J34" i="4"/>
  <c r="J26" i="4"/>
  <c r="J18" i="4"/>
  <c r="T2" i="4" l="1"/>
</calcChain>
</file>

<file path=xl/sharedStrings.xml><?xml version="1.0" encoding="utf-8"?>
<sst xmlns="http://schemas.openxmlformats.org/spreadsheetml/2006/main" count="53" uniqueCount="30">
  <si>
    <t>Time (min)</t>
  </si>
  <si>
    <t>Cytoplasm</t>
  </si>
  <si>
    <t>Nucleoplasm</t>
  </si>
  <si>
    <t>NE</t>
  </si>
  <si>
    <t>Nup107</t>
  </si>
  <si>
    <t>Seh1</t>
  </si>
  <si>
    <t>Nup205</t>
  </si>
  <si>
    <t>Nup93</t>
  </si>
  <si>
    <t>Nup62</t>
  </si>
  <si>
    <t>Nup214</t>
  </si>
  <si>
    <t>Tpr</t>
  </si>
  <si>
    <t>Nup358</t>
  </si>
  <si>
    <t>Total Nup62 molecules in a cell:</t>
  </si>
  <si>
    <t>Cell volume (micro m^3)</t>
  </si>
  <si>
    <t>Nup62 molecules / micro m^3</t>
  </si>
  <si>
    <t>Conversion to mg/mL</t>
  </si>
  <si>
    <t>mol / molecule</t>
  </si>
  <si>
    <t>micro m^3 / mL</t>
  </si>
  <si>
    <t>g / mol of Nup62</t>
  </si>
  <si>
    <t>mg / g</t>
  </si>
  <si>
    <t>Total conversion factor</t>
  </si>
  <si>
    <t>Average concentration:</t>
  </si>
  <si>
    <t>mg / mL</t>
  </si>
  <si>
    <t>Cellular concentration (mg/mL):</t>
  </si>
  <si>
    <t>Conversion to mM</t>
  </si>
  <si>
    <t>micro m^3 / L</t>
  </si>
  <si>
    <t>Total converstion facor:</t>
  </si>
  <si>
    <t>Cellular concentration (mM):</t>
  </si>
  <si>
    <t>mM</t>
  </si>
  <si>
    <t>microM /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</si>
</sst>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991CE"/>
      <color rgb="FF3F6A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3"/>
  <sheetViews>
    <sheetView zoomScale="70" zoomScaleNormal="70" workbookViewId="0">
      <selection activeCell="E48" sqref="E48"/>
    </sheetView>
  </sheetViews>
  <sheetFormatPr baseColWidth="10" defaultColWidth="8.83203125" defaultRowHeight="15" x14ac:dyDescent="0.2"/>
  <cols>
    <col min="18" max="20" width="12.1640625" bestFit="1" customWidth="1"/>
  </cols>
  <sheetData>
    <row r="1" spans="1:32" s="1" customFormat="1" x14ac:dyDescent="0.2">
      <c r="B1" s="1" t="s">
        <v>4</v>
      </c>
      <c r="F1" s="1" t="s">
        <v>5</v>
      </c>
      <c r="J1" s="1" t="s">
        <v>6</v>
      </c>
      <c r="N1" s="1" t="s">
        <v>7</v>
      </c>
      <c r="R1" s="1" t="s">
        <v>8</v>
      </c>
      <c r="V1" s="1" t="s">
        <v>9</v>
      </c>
      <c r="Z1" s="1" t="s">
        <v>10</v>
      </c>
      <c r="AD1" s="1" t="s">
        <v>11</v>
      </c>
    </row>
    <row r="2" spans="1:32" x14ac:dyDescent="0.2">
      <c r="A2" t="s">
        <v>0</v>
      </c>
      <c r="B2" t="s">
        <v>1</v>
      </c>
      <c r="C2" t="s">
        <v>2</v>
      </c>
      <c r="D2" t="s">
        <v>3</v>
      </c>
      <c r="F2" t="s">
        <v>1</v>
      </c>
      <c r="G2" t="s">
        <v>2</v>
      </c>
      <c r="H2" t="s">
        <v>3</v>
      </c>
      <c r="J2" t="s">
        <v>1</v>
      </c>
      <c r="K2" t="s">
        <v>2</v>
      </c>
      <c r="L2" t="s">
        <v>3</v>
      </c>
      <c r="N2" t="s">
        <v>1</v>
      </c>
      <c r="O2" t="s">
        <v>2</v>
      </c>
      <c r="P2" t="s">
        <v>3</v>
      </c>
      <c r="R2" t="s">
        <v>1</v>
      </c>
      <c r="S2" t="s">
        <v>2</v>
      </c>
      <c r="T2" t="s">
        <v>3</v>
      </c>
      <c r="V2" t="s">
        <v>1</v>
      </c>
      <c r="W2" t="s">
        <v>2</v>
      </c>
      <c r="X2" t="s">
        <v>3</v>
      </c>
      <c r="Z2" t="s">
        <v>1</v>
      </c>
      <c r="AA2" t="s">
        <v>2</v>
      </c>
      <c r="AB2" t="s">
        <v>3</v>
      </c>
      <c r="AD2" t="s">
        <v>1</v>
      </c>
      <c r="AE2" t="s">
        <v>2</v>
      </c>
      <c r="AF2" t="s">
        <v>3</v>
      </c>
    </row>
    <row r="3" spans="1:32" x14ac:dyDescent="0.2">
      <c r="A3">
        <v>0</v>
      </c>
      <c r="B3">
        <v>2.4915362179950273</v>
      </c>
      <c r="C3">
        <v>0.29654753351054514</v>
      </c>
      <c r="D3">
        <v>3.7080440328038249E-2</v>
      </c>
      <c r="F3">
        <v>2.3983822581347094</v>
      </c>
      <c r="G3">
        <v>0.32179562386667654</v>
      </c>
      <c r="H3">
        <v>4.6954966500223093E-2</v>
      </c>
      <c r="J3">
        <v>1.3610301661851663</v>
      </c>
      <c r="K3">
        <v>9.0062500358122202E-2</v>
      </c>
      <c r="L3">
        <v>1.5510475848480546E-2</v>
      </c>
      <c r="N3">
        <v>5.3387442621008807</v>
      </c>
      <c r="O3">
        <v>0.32940039472614391</v>
      </c>
      <c r="P3">
        <v>3.78847117774486E-2</v>
      </c>
      <c r="R3">
        <v>5.4658588487687245</v>
      </c>
      <c r="S3">
        <v>0.34657652932670996</v>
      </c>
      <c r="T3">
        <v>7.4589947138654231E-2</v>
      </c>
      <c r="V3">
        <v>1.7370159031820458</v>
      </c>
      <c r="W3">
        <v>9.0580531800767763E-2</v>
      </c>
      <c r="X3">
        <v>2.1723720416649529E-2</v>
      </c>
      <c r="Z3">
        <v>1.7441908255776175</v>
      </c>
      <c r="AA3">
        <v>0.10616752926503623</v>
      </c>
      <c r="AB3">
        <v>4.4849088735628567E-2</v>
      </c>
      <c r="AD3">
        <v>1.2346935438947568</v>
      </c>
      <c r="AE3">
        <v>9.2671815235136942E-2</v>
      </c>
      <c r="AF3">
        <v>1.8366170192241522E-2</v>
      </c>
    </row>
    <row r="4" spans="1:32" x14ac:dyDescent="0.2">
      <c r="A4">
        <v>0.5</v>
      </c>
      <c r="B4">
        <v>2.452552436355286</v>
      </c>
      <c r="C4">
        <v>0.31254694640740532</v>
      </c>
      <c r="D4">
        <v>4.4563396155305218E-2</v>
      </c>
      <c r="F4">
        <v>2.3306463254062777</v>
      </c>
      <c r="G4">
        <v>0.35675195974313756</v>
      </c>
      <c r="H4">
        <v>7.9458150994383983E-2</v>
      </c>
      <c r="J4">
        <v>1.3351753188463933</v>
      </c>
      <c r="K4">
        <v>0.11549232023810636</v>
      </c>
      <c r="L4">
        <v>8.1848591302177195E-3</v>
      </c>
      <c r="N4">
        <v>5.1285221721876271</v>
      </c>
      <c r="O4">
        <v>0.4914664370576734</v>
      </c>
      <c r="P4">
        <v>2.894100312259543E-2</v>
      </c>
      <c r="R4">
        <v>5.3157013667807638</v>
      </c>
      <c r="S4">
        <v>0.4293913843978675</v>
      </c>
      <c r="T4">
        <v>5.9994333272858386E-2</v>
      </c>
      <c r="V4">
        <v>1.7023421524551827</v>
      </c>
      <c r="W4">
        <v>0.11458628578947733</v>
      </c>
      <c r="X4">
        <v>1.682994056178605E-2</v>
      </c>
      <c r="Z4">
        <v>1.7487106371102072</v>
      </c>
      <c r="AA4">
        <v>0.13972123228944164</v>
      </c>
      <c r="AB4">
        <v>3.825181074525473E-2</v>
      </c>
      <c r="AD4">
        <v>1.2027212403312899</v>
      </c>
      <c r="AE4">
        <v>0.1077516497162304</v>
      </c>
      <c r="AF4">
        <v>2.2392363119414466E-2</v>
      </c>
    </row>
    <row r="5" spans="1:32" x14ac:dyDescent="0.2">
      <c r="A5">
        <v>1</v>
      </c>
      <c r="B5">
        <v>2.3381471538794103</v>
      </c>
      <c r="C5">
        <v>0.42280061499545657</v>
      </c>
      <c r="D5">
        <v>5.3051959015250193E-2</v>
      </c>
      <c r="F5">
        <v>2.1918210868369119</v>
      </c>
      <c r="G5">
        <v>0.48799577889872126</v>
      </c>
      <c r="H5">
        <v>8.3400066225802288E-2</v>
      </c>
      <c r="J5">
        <v>1.2323045013610696</v>
      </c>
      <c r="K5">
        <v>0.17629342709328147</v>
      </c>
      <c r="L5">
        <v>-2.673122888829974E-3</v>
      </c>
      <c r="N5">
        <v>4.856607564799277</v>
      </c>
      <c r="O5">
        <v>0.71041747565005642</v>
      </c>
      <c r="P5">
        <v>2.2504954325939793E-2</v>
      </c>
      <c r="R5">
        <v>4.9919254725426443</v>
      </c>
      <c r="S5">
        <v>0.66499161923574979</v>
      </c>
      <c r="T5">
        <v>4.3417114389436427E-2</v>
      </c>
      <c r="V5">
        <v>1.6023774250859693</v>
      </c>
      <c r="W5">
        <v>0.18366543141277769</v>
      </c>
      <c r="X5">
        <v>1.0931270808396558E-2</v>
      </c>
      <c r="Z5">
        <v>1.6123196979641745</v>
      </c>
      <c r="AA5">
        <v>0.21674568245730644</v>
      </c>
      <c r="AB5">
        <v>2.1236561522178395E-2</v>
      </c>
      <c r="AD5">
        <v>1.1245952019413266</v>
      </c>
      <c r="AE5">
        <v>0.16180227477807918</v>
      </c>
      <c r="AF5">
        <v>2.151652523812813E-2</v>
      </c>
    </row>
    <row r="6" spans="1:32" x14ac:dyDescent="0.2">
      <c r="A6">
        <v>1.5</v>
      </c>
      <c r="B6">
        <v>2.1747229579367304</v>
      </c>
      <c r="C6">
        <v>0.55952374066220856</v>
      </c>
      <c r="D6">
        <v>5.5217860912879294E-2</v>
      </c>
      <c r="F6">
        <v>2.0568745165358302</v>
      </c>
      <c r="G6">
        <v>0.58579201946892234</v>
      </c>
      <c r="H6">
        <v>7.7524363591289835E-2</v>
      </c>
      <c r="J6">
        <v>1.219521739304267</v>
      </c>
      <c r="K6">
        <v>0.20715400985715529</v>
      </c>
      <c r="L6">
        <v>-5.1285332897135173E-3</v>
      </c>
      <c r="N6">
        <v>4.9558089367321534</v>
      </c>
      <c r="O6">
        <v>0.78256904133767846</v>
      </c>
      <c r="P6">
        <v>2.3829712815105649E-2</v>
      </c>
      <c r="R6">
        <v>4.7015725782184665</v>
      </c>
      <c r="S6">
        <v>0.80980418215937067</v>
      </c>
      <c r="T6">
        <v>7.8070214539726998E-2</v>
      </c>
      <c r="V6">
        <v>1.5654147780842858</v>
      </c>
      <c r="W6">
        <v>0.23387877919369074</v>
      </c>
      <c r="X6">
        <v>1.7444712449436659E-2</v>
      </c>
      <c r="Z6">
        <v>1.5635435650903993</v>
      </c>
      <c r="AA6">
        <v>0.26080547170085128</v>
      </c>
      <c r="AB6">
        <v>1.4247961386795507E-2</v>
      </c>
      <c r="AD6">
        <v>1.1669117649437224</v>
      </c>
      <c r="AE6">
        <v>0.18052592534810774</v>
      </c>
      <c r="AF6">
        <v>2.1157105594348826E-2</v>
      </c>
    </row>
    <row r="7" spans="1:32" x14ac:dyDescent="0.2">
      <c r="A7">
        <v>2</v>
      </c>
      <c r="B7">
        <v>2.072188400169483</v>
      </c>
      <c r="C7">
        <v>0.54656404454048046</v>
      </c>
      <c r="D7">
        <v>6.4781419492834932E-2</v>
      </c>
      <c r="F7">
        <v>1.9905714445350153</v>
      </c>
      <c r="G7">
        <v>0.53919148617111179</v>
      </c>
      <c r="H7">
        <v>5.4869810499047114E-2</v>
      </c>
      <c r="J7">
        <v>1.1738337484655521</v>
      </c>
      <c r="K7">
        <v>0.18219014470438694</v>
      </c>
      <c r="L7">
        <v>7.4570600323128151E-4</v>
      </c>
      <c r="N7">
        <v>4.9771072668767298</v>
      </c>
      <c r="O7">
        <v>0.59676886611808422</v>
      </c>
      <c r="P7">
        <v>3.0268756205980327E-2</v>
      </c>
      <c r="R7">
        <v>4.8741354265167542</v>
      </c>
      <c r="S7">
        <v>0.6700127989954836</v>
      </c>
      <c r="T7">
        <v>7.2055903592379567E-2</v>
      </c>
      <c r="V7">
        <v>1.5049624817974825</v>
      </c>
      <c r="W7">
        <v>0.23325852131946043</v>
      </c>
      <c r="X7">
        <v>1.5468403675639814E-2</v>
      </c>
      <c r="Z7">
        <v>1.6095138926307664</v>
      </c>
      <c r="AA7">
        <v>0.19596624211224445</v>
      </c>
      <c r="AB7">
        <v>7.4720339517661046E-3</v>
      </c>
      <c r="AD7">
        <v>1.1150315542659461</v>
      </c>
      <c r="AE7">
        <v>0.17529964350709365</v>
      </c>
      <c r="AF7">
        <v>2.0389635371561132E-2</v>
      </c>
    </row>
    <row r="8" spans="1:32" x14ac:dyDescent="0.2">
      <c r="A8">
        <v>2.5</v>
      </c>
      <c r="B8">
        <v>1.8515203158739977</v>
      </c>
      <c r="C8">
        <v>0.71033361613773482</v>
      </c>
      <c r="D8">
        <v>8.1021790619007536E-2</v>
      </c>
      <c r="F8">
        <v>1.7271585202794277</v>
      </c>
      <c r="G8">
        <v>0.79073814195194847</v>
      </c>
      <c r="H8">
        <v>9.2847691157605008E-2</v>
      </c>
      <c r="J8">
        <v>1.1367278260003808</v>
      </c>
      <c r="K8">
        <v>0.18632588610613057</v>
      </c>
      <c r="L8">
        <v>2.1117893436213273E-2</v>
      </c>
      <c r="N8">
        <v>4.7474985647963823</v>
      </c>
      <c r="O8">
        <v>0.55735976494765704</v>
      </c>
      <c r="P8">
        <v>6.0006723078475467E-2</v>
      </c>
      <c r="R8">
        <v>4.5535349627672161</v>
      </c>
      <c r="S8">
        <v>0.75923813306362598</v>
      </c>
      <c r="T8">
        <v>8.6691612164015844E-2</v>
      </c>
      <c r="V8">
        <v>1.3764503886541468</v>
      </c>
      <c r="W8">
        <v>0.26523851431143591</v>
      </c>
      <c r="X8">
        <v>3.2554308928967171E-2</v>
      </c>
      <c r="Z8">
        <v>1.5186927079432528</v>
      </c>
      <c r="AA8">
        <v>0.22674097446691641</v>
      </c>
      <c r="AB8">
        <v>1.1587044616975411E-2</v>
      </c>
      <c r="AD8">
        <v>1.0742710788374552</v>
      </c>
      <c r="AE8">
        <v>0.16870451594803609</v>
      </c>
      <c r="AF8">
        <v>2.0564247350328461E-2</v>
      </c>
    </row>
    <row r="9" spans="1:32" x14ac:dyDescent="0.2">
      <c r="A9">
        <v>3</v>
      </c>
      <c r="B9">
        <v>2.0993818052391076</v>
      </c>
      <c r="C9">
        <v>0.44406642980473132</v>
      </c>
      <c r="D9">
        <v>0.13990678843238621</v>
      </c>
      <c r="F9">
        <v>2.0380571969726966</v>
      </c>
      <c r="G9">
        <v>0.46031246637024387</v>
      </c>
      <c r="H9">
        <v>0.13454843158636787</v>
      </c>
      <c r="J9">
        <v>1.2620719765558097</v>
      </c>
      <c r="K9">
        <v>0.1262577095737446</v>
      </c>
      <c r="L9">
        <v>8.6273490497087834E-3</v>
      </c>
      <c r="N9">
        <v>5.0223643578212522</v>
      </c>
      <c r="O9">
        <v>0.3986286676517598</v>
      </c>
      <c r="P9">
        <v>2.2915352283761826E-2</v>
      </c>
      <c r="R9">
        <v>4.9179127660421313</v>
      </c>
      <c r="S9">
        <v>0.53913604204255217</v>
      </c>
      <c r="T9">
        <v>8.2989802543106964E-2</v>
      </c>
      <c r="V9">
        <v>1.5574728124609196</v>
      </c>
      <c r="W9">
        <v>0.15499621631551863</v>
      </c>
      <c r="X9">
        <v>1.3947666543545059E-2</v>
      </c>
      <c r="Z9">
        <v>1.6105956824067502</v>
      </c>
      <c r="AA9">
        <v>0.14913606772830434</v>
      </c>
      <c r="AB9">
        <v>2.0581202953005799E-2</v>
      </c>
      <c r="AD9">
        <v>1.1254282939565738</v>
      </c>
      <c r="AE9">
        <v>0.12237776040110886</v>
      </c>
      <c r="AF9">
        <v>1.9916404258327684E-2</v>
      </c>
    </row>
    <row r="10" spans="1:32" x14ac:dyDescent="0.2">
      <c r="A10">
        <v>3.5</v>
      </c>
      <c r="B10">
        <v>2.1769774742394135</v>
      </c>
      <c r="C10">
        <v>0.34889462872235905</v>
      </c>
      <c r="D10">
        <v>0.13620137880242833</v>
      </c>
      <c r="F10">
        <v>2.0896074635132025</v>
      </c>
      <c r="G10">
        <v>0.33959646778195574</v>
      </c>
      <c r="H10">
        <v>0.109839300853823</v>
      </c>
      <c r="J10">
        <v>1.2422219229722282</v>
      </c>
      <c r="K10">
        <v>9.9751234529868907E-2</v>
      </c>
      <c r="L10">
        <v>8.680387238307009E-3</v>
      </c>
      <c r="N10">
        <v>5.1868712390216913</v>
      </c>
      <c r="O10">
        <v>0.32066577731647916</v>
      </c>
      <c r="P10">
        <v>3.6360898259425916E-3</v>
      </c>
      <c r="R10">
        <v>4.9448594323245265</v>
      </c>
      <c r="S10">
        <v>0.40475074864143279</v>
      </c>
      <c r="T10">
        <v>4.6468594613802559E-2</v>
      </c>
      <c r="V10">
        <v>1.6273884704892121</v>
      </c>
      <c r="W10">
        <v>0.10763997469406102</v>
      </c>
      <c r="X10">
        <v>7.6087796580754487E-3</v>
      </c>
      <c r="Z10">
        <v>1.6828512407939658</v>
      </c>
      <c r="AA10">
        <v>0.11422217178073119</v>
      </c>
      <c r="AB10">
        <v>1.9374988269695664E-2</v>
      </c>
      <c r="AD10">
        <v>1.1661737915634511</v>
      </c>
      <c r="AE10">
        <v>9.7890644044938913E-2</v>
      </c>
      <c r="AF10">
        <v>-9.7431503518700894E-3</v>
      </c>
    </row>
    <row r="11" spans="1:32" x14ac:dyDescent="0.2">
      <c r="A11">
        <v>4</v>
      </c>
      <c r="B11">
        <v>2.1909483031053956</v>
      </c>
      <c r="C11">
        <v>0.30512054488874546</v>
      </c>
      <c r="D11">
        <v>0.18152872586456434</v>
      </c>
      <c r="F11">
        <v>2.1702437663666498</v>
      </c>
      <c r="G11">
        <v>0.29186555110962226</v>
      </c>
      <c r="H11">
        <v>0.14940461456122919</v>
      </c>
      <c r="J11">
        <v>1.3216008467201266</v>
      </c>
      <c r="K11">
        <v>8.2343224030956785E-2</v>
      </c>
      <c r="L11">
        <v>1.3049040883100825E-2</v>
      </c>
      <c r="N11">
        <v>5.2833659070070391</v>
      </c>
      <c r="O11">
        <v>0.25563933190688271</v>
      </c>
      <c r="P11">
        <v>5.3458339672972132E-3</v>
      </c>
      <c r="R11">
        <v>5.1086753623845196</v>
      </c>
      <c r="S11">
        <v>0.32098110438658672</v>
      </c>
      <c r="T11">
        <v>4.0607718001254574E-2</v>
      </c>
      <c r="V11">
        <v>1.6574947288700892</v>
      </c>
      <c r="W11">
        <v>8.0831939099012165E-2</v>
      </c>
      <c r="X11">
        <v>1.1032543410841891E-2</v>
      </c>
      <c r="Z11">
        <v>1.7595060611276232</v>
      </c>
      <c r="AA11">
        <v>8.7708201413143561E-2</v>
      </c>
      <c r="AB11">
        <v>8.5656507227474844E-3</v>
      </c>
      <c r="AD11">
        <v>1.2030947755012424</v>
      </c>
      <c r="AE11">
        <v>7.4029712383223409E-2</v>
      </c>
      <c r="AF11">
        <v>-1.253445060026157E-3</v>
      </c>
    </row>
    <row r="12" spans="1:32" x14ac:dyDescent="0.2">
      <c r="A12">
        <v>4.5</v>
      </c>
      <c r="B12">
        <v>2.1475871328695595</v>
      </c>
      <c r="C12">
        <v>0.27364161193230824</v>
      </c>
      <c r="D12">
        <v>0.21406526845138607</v>
      </c>
      <c r="F12">
        <v>2.176578242423314</v>
      </c>
      <c r="G12">
        <v>0.26022417180868335</v>
      </c>
      <c r="H12">
        <v>0.16223911357258974</v>
      </c>
      <c r="J12">
        <v>1.3049252686003285</v>
      </c>
      <c r="K12">
        <v>6.8500861899131071E-2</v>
      </c>
      <c r="L12">
        <v>8.2069938809771793E-3</v>
      </c>
      <c r="N12">
        <v>5.2914119448826478</v>
      </c>
      <c r="O12">
        <v>0.21816114750790694</v>
      </c>
      <c r="P12">
        <v>3.0734551830330914E-3</v>
      </c>
      <c r="R12">
        <v>5.1960939529622525</v>
      </c>
      <c r="S12">
        <v>0.2745388985649902</v>
      </c>
      <c r="T12">
        <v>1.9528329042639358E-2</v>
      </c>
      <c r="V12">
        <v>1.6839475403385908</v>
      </c>
      <c r="W12">
        <v>6.8194131544728365E-2</v>
      </c>
      <c r="X12">
        <v>-2.8211077932552599E-3</v>
      </c>
      <c r="Z12">
        <v>1.7716634008467049</v>
      </c>
      <c r="AA12">
        <v>7.1692255828725154E-2</v>
      </c>
      <c r="AB12">
        <v>-7.9377444669919937E-3</v>
      </c>
      <c r="AD12">
        <v>1.2103121899142331</v>
      </c>
      <c r="AE12">
        <v>6.6635558738798811E-2</v>
      </c>
      <c r="AF12">
        <v>-1.5867385730229635E-2</v>
      </c>
    </row>
    <row r="13" spans="1:32" x14ac:dyDescent="0.2">
      <c r="A13">
        <v>5</v>
      </c>
      <c r="B13">
        <v>2.1132033062458873</v>
      </c>
      <c r="C13">
        <v>0.25233067843723661</v>
      </c>
      <c r="D13">
        <v>0.28846809799124062</v>
      </c>
      <c r="F13">
        <v>2.1533858767310439</v>
      </c>
      <c r="G13">
        <v>0.23873887139099464</v>
      </c>
      <c r="H13">
        <v>0.19454290029773519</v>
      </c>
      <c r="J13">
        <v>1.311979631970305</v>
      </c>
      <c r="K13">
        <v>5.8652233243690337E-2</v>
      </c>
      <c r="L13">
        <v>6.3422036735514102E-3</v>
      </c>
      <c r="N13">
        <v>5.3127575906503655</v>
      </c>
      <c r="O13">
        <v>0.18421825453334423</v>
      </c>
      <c r="P13">
        <v>1.9217888834576684E-2</v>
      </c>
      <c r="R13">
        <v>5.2589542308370092</v>
      </c>
      <c r="S13">
        <v>0.22829385548073197</v>
      </c>
      <c r="T13">
        <v>3.6510821223400602E-2</v>
      </c>
      <c r="V13">
        <v>1.6944851582158695</v>
      </c>
      <c r="W13">
        <v>5.713207005329643E-2</v>
      </c>
      <c r="X13">
        <v>8.1194818727206922E-3</v>
      </c>
      <c r="Z13">
        <v>1.746541780627157</v>
      </c>
      <c r="AA13">
        <v>6.3671795450017929E-2</v>
      </c>
      <c r="AB13">
        <v>-4.3599083692051404E-3</v>
      </c>
      <c r="AD13">
        <v>1.2186534462366048</v>
      </c>
      <c r="AE13">
        <v>5.4198514968464132E-2</v>
      </c>
      <c r="AF13">
        <v>-1.9985291433675008E-3</v>
      </c>
    </row>
    <row r="14" spans="1:32" x14ac:dyDescent="0.2">
      <c r="A14">
        <v>5.5</v>
      </c>
      <c r="B14">
        <v>2.067646452119253</v>
      </c>
      <c r="C14">
        <v>0.23701695091948669</v>
      </c>
      <c r="D14">
        <v>0.43259483131570858</v>
      </c>
      <c r="F14">
        <v>2.1400925093701568</v>
      </c>
      <c r="G14">
        <v>0.22322716025071732</v>
      </c>
      <c r="H14">
        <v>0.23006472393553432</v>
      </c>
      <c r="J14">
        <v>1.3083532502055819</v>
      </c>
      <c r="K14">
        <v>5.2940767804507613E-2</v>
      </c>
      <c r="L14">
        <v>4.2028818224942852E-2</v>
      </c>
      <c r="N14">
        <v>5.2447468911740707</v>
      </c>
      <c r="O14">
        <v>0.18893795754823328</v>
      </c>
      <c r="P14">
        <v>8.1249590054961171E-2</v>
      </c>
      <c r="R14">
        <v>5.0563296336798427</v>
      </c>
      <c r="S14">
        <v>0.21725245057129375</v>
      </c>
      <c r="T14">
        <v>0.11569006477991256</v>
      </c>
      <c r="V14">
        <v>1.7021335325438629</v>
      </c>
      <c r="W14">
        <v>4.992485555453606E-2</v>
      </c>
      <c r="X14">
        <v>3.7462970790126076E-3</v>
      </c>
      <c r="Z14">
        <v>1.7814448914565109</v>
      </c>
      <c r="AA14">
        <v>5.7182918027656397E-2</v>
      </c>
      <c r="AB14">
        <v>-6.2121842732416107E-3</v>
      </c>
      <c r="AD14">
        <v>1.2306961101493292</v>
      </c>
      <c r="AE14">
        <v>4.9803453892875493E-2</v>
      </c>
      <c r="AF14">
        <v>-5.1129416128985203E-3</v>
      </c>
    </row>
    <row r="15" spans="1:32" x14ac:dyDescent="0.2">
      <c r="A15">
        <v>6</v>
      </c>
      <c r="B15">
        <v>1.9668071833272747</v>
      </c>
      <c r="C15">
        <v>0.22928377634413694</v>
      </c>
      <c r="D15">
        <v>0.58954782595130883</v>
      </c>
      <c r="F15">
        <v>2.079683818704201</v>
      </c>
      <c r="G15">
        <v>0.21490724053764995</v>
      </c>
      <c r="H15">
        <v>0.3469563876112049</v>
      </c>
      <c r="J15">
        <v>1.2577944408290662</v>
      </c>
      <c r="K15">
        <v>5.7161720986680105E-2</v>
      </c>
      <c r="L15">
        <v>7.7246455638731212E-2</v>
      </c>
      <c r="N15">
        <v>5.1173837387749863</v>
      </c>
      <c r="O15">
        <v>0.19751557640526246</v>
      </c>
      <c r="P15">
        <v>0.18170664836800279</v>
      </c>
      <c r="R15">
        <v>5.0994300171532592</v>
      </c>
      <c r="S15">
        <v>0.21728978025506046</v>
      </c>
      <c r="T15">
        <v>0.18734021480624774</v>
      </c>
      <c r="V15">
        <v>1.7088365075473733</v>
      </c>
      <c r="W15">
        <v>4.8172591844790093E-2</v>
      </c>
      <c r="X15">
        <v>9.5293127483524025E-3</v>
      </c>
      <c r="Z15">
        <v>1.741589962965941</v>
      </c>
      <c r="AA15">
        <v>5.5560711896572447E-2</v>
      </c>
      <c r="AB15">
        <v>1.6670605314196695E-2</v>
      </c>
      <c r="AD15">
        <v>1.2259603474986094</v>
      </c>
      <c r="AE15">
        <v>4.8672715901878147E-2</v>
      </c>
      <c r="AF15">
        <v>-7.2183041411728165E-3</v>
      </c>
    </row>
    <row r="16" spans="1:32" x14ac:dyDescent="0.2">
      <c r="A16">
        <v>6.5</v>
      </c>
      <c r="B16">
        <v>1.8987635323103451</v>
      </c>
      <c r="C16">
        <v>0.22312166245145701</v>
      </c>
      <c r="D16">
        <v>0.6759052800630585</v>
      </c>
      <c r="F16">
        <v>2.0243584128587453</v>
      </c>
      <c r="G16">
        <v>0.2075559972957022</v>
      </c>
      <c r="H16">
        <v>0.43490379990223393</v>
      </c>
      <c r="J16">
        <v>1.2187595558786233</v>
      </c>
      <c r="K16">
        <v>5.7607979427266309E-2</v>
      </c>
      <c r="L16">
        <v>0.19815464679215125</v>
      </c>
      <c r="N16">
        <v>5.0542247523648616</v>
      </c>
      <c r="O16">
        <v>0.19784878009878035</v>
      </c>
      <c r="P16">
        <v>0.29293531026597985</v>
      </c>
      <c r="R16">
        <v>5.065109666118965</v>
      </c>
      <c r="S16">
        <v>0.21675729438654653</v>
      </c>
      <c r="T16">
        <v>0.39525833572779817</v>
      </c>
      <c r="V16">
        <v>1.7201852654694472</v>
      </c>
      <c r="W16">
        <v>4.8427630350556417E-2</v>
      </c>
      <c r="X16">
        <v>1.4164961218767567E-2</v>
      </c>
      <c r="Z16">
        <v>1.7767526040766108</v>
      </c>
      <c r="AA16">
        <v>5.1560470473838146E-2</v>
      </c>
      <c r="AB16">
        <v>2.0215880884048739E-2</v>
      </c>
      <c r="AD16">
        <v>1.2169017671559528</v>
      </c>
      <c r="AE16">
        <v>4.5401549827678855E-2</v>
      </c>
      <c r="AF16">
        <v>-2.8665176966871408E-5</v>
      </c>
    </row>
    <row r="17" spans="1:32" x14ac:dyDescent="0.2">
      <c r="A17">
        <v>7</v>
      </c>
      <c r="B17">
        <v>1.8389351395143023</v>
      </c>
      <c r="C17">
        <v>0.22218808136936297</v>
      </c>
      <c r="D17">
        <v>0.76567432187105589</v>
      </c>
      <c r="F17">
        <v>1.9642673792453236</v>
      </c>
      <c r="G17">
        <v>0.20237363605035133</v>
      </c>
      <c r="H17">
        <v>0.50472289041402607</v>
      </c>
      <c r="J17">
        <v>1.1321585025430703</v>
      </c>
      <c r="K17">
        <v>5.8207554373669562E-2</v>
      </c>
      <c r="L17">
        <v>0.26237562931360298</v>
      </c>
      <c r="N17">
        <v>4.8487006238927393</v>
      </c>
      <c r="O17">
        <v>0.20082394507578596</v>
      </c>
      <c r="P17">
        <v>0.38468871905692431</v>
      </c>
      <c r="R17">
        <v>4.9391585477096305</v>
      </c>
      <c r="S17">
        <v>0.21971082598542335</v>
      </c>
      <c r="T17">
        <v>0.52994613205419139</v>
      </c>
      <c r="V17">
        <v>1.7079524926160201</v>
      </c>
      <c r="W17">
        <v>4.9089416304270397E-2</v>
      </c>
      <c r="X17">
        <v>3.319307397137776E-2</v>
      </c>
      <c r="Z17">
        <v>1.8464449362155047</v>
      </c>
      <c r="AA17">
        <v>5.2466540536007217E-2</v>
      </c>
      <c r="AB17">
        <v>3.8792845848055049E-2</v>
      </c>
      <c r="AD17">
        <v>1.2190746589276211</v>
      </c>
      <c r="AE17">
        <v>4.3217271010569817E-2</v>
      </c>
      <c r="AF17">
        <v>9.4263124470589463E-3</v>
      </c>
    </row>
    <row r="18" spans="1:32" x14ac:dyDescent="0.2">
      <c r="A18">
        <v>7.5</v>
      </c>
      <c r="B18">
        <v>1.7766228823958936</v>
      </c>
      <c r="C18">
        <v>0.22108524830185183</v>
      </c>
      <c r="D18">
        <v>0.79173171532787512</v>
      </c>
      <c r="F18">
        <v>1.8625311156710775</v>
      </c>
      <c r="G18">
        <v>0.19886511430161066</v>
      </c>
      <c r="H18">
        <v>0.6043823069836638</v>
      </c>
      <c r="J18">
        <v>1.0928817992536537</v>
      </c>
      <c r="K18">
        <v>5.9297262354409803E-2</v>
      </c>
      <c r="L18">
        <v>0.32617803344075008</v>
      </c>
      <c r="N18">
        <v>4.6565342273402806</v>
      </c>
      <c r="O18">
        <v>0.20459760881406686</v>
      </c>
      <c r="P18">
        <v>0.49992907215953114</v>
      </c>
      <c r="R18">
        <v>4.8431424743897127</v>
      </c>
      <c r="S18">
        <v>0.22045008688960613</v>
      </c>
      <c r="T18">
        <v>0.69811581855515104</v>
      </c>
      <c r="V18">
        <v>1.6697798183920252</v>
      </c>
      <c r="W18">
        <v>4.9956869886062648E-2</v>
      </c>
      <c r="X18">
        <v>5.4500494596933242E-2</v>
      </c>
      <c r="Z18">
        <v>1.7502425084955169</v>
      </c>
      <c r="AA18">
        <v>5.3647389921830227E-2</v>
      </c>
      <c r="AB18">
        <v>4.0350915748692012E-2</v>
      </c>
      <c r="AD18">
        <v>1.2262988531777717</v>
      </c>
      <c r="AE18">
        <v>4.5637883829867831E-2</v>
      </c>
      <c r="AF18">
        <v>8.8997349372291843E-3</v>
      </c>
    </row>
    <row r="19" spans="1:32" x14ac:dyDescent="0.2">
      <c r="A19">
        <v>8</v>
      </c>
      <c r="B19">
        <v>1.7299967773501534</v>
      </c>
      <c r="C19">
        <v>0.22621725858903644</v>
      </c>
      <c r="D19">
        <v>0.84407472471467249</v>
      </c>
      <c r="F19">
        <v>1.8286499679893906</v>
      </c>
      <c r="G19">
        <v>0.19581452739458885</v>
      </c>
      <c r="H19">
        <v>0.59984812696649292</v>
      </c>
      <c r="J19">
        <v>1.0291202694918749</v>
      </c>
      <c r="K19">
        <v>6.0824087732300761E-2</v>
      </c>
      <c r="L19">
        <v>0.39782294748079861</v>
      </c>
      <c r="N19">
        <v>4.3265626557680559</v>
      </c>
      <c r="O19">
        <v>0.20969228029136069</v>
      </c>
      <c r="P19">
        <v>0.63709059858861783</v>
      </c>
      <c r="R19">
        <v>4.7504428801814766</v>
      </c>
      <c r="S19">
        <v>0.22339986244875559</v>
      </c>
      <c r="T19">
        <v>0.80509088341119261</v>
      </c>
      <c r="V19">
        <v>1.6389617428289054</v>
      </c>
      <c r="W19">
        <v>5.1400838006311178E-2</v>
      </c>
      <c r="X19">
        <v>8.6198971754157194E-2</v>
      </c>
      <c r="Z19">
        <v>1.7731740217461225</v>
      </c>
      <c r="AA19">
        <v>5.397775661138144E-2</v>
      </c>
      <c r="AB19">
        <v>2.9910247661578314E-2</v>
      </c>
      <c r="AD19">
        <v>1.2071749489537815</v>
      </c>
      <c r="AE19">
        <v>4.5639399721953022E-2</v>
      </c>
      <c r="AF19">
        <v>2.1292864842796716E-2</v>
      </c>
    </row>
    <row r="20" spans="1:32" x14ac:dyDescent="0.2">
      <c r="A20">
        <v>8.5</v>
      </c>
      <c r="B20">
        <v>1.7100142862552981</v>
      </c>
      <c r="C20">
        <v>0.23607955611345685</v>
      </c>
      <c r="D20">
        <v>0.8528893602527029</v>
      </c>
      <c r="F20">
        <v>1.7908497470850457</v>
      </c>
      <c r="G20">
        <v>0.19464484812630384</v>
      </c>
      <c r="H20">
        <v>0.67589520446582874</v>
      </c>
      <c r="J20">
        <v>0.99864169793418722</v>
      </c>
      <c r="K20">
        <v>6.4397100373283014E-2</v>
      </c>
      <c r="L20">
        <v>0.40860964716708653</v>
      </c>
      <c r="N20">
        <v>4.1986758377007707</v>
      </c>
      <c r="O20">
        <v>0.21894562669258652</v>
      </c>
      <c r="P20">
        <v>0.70042584876538949</v>
      </c>
      <c r="R20">
        <v>4.5850399264704143</v>
      </c>
      <c r="S20">
        <v>0.22879047237951897</v>
      </c>
      <c r="T20">
        <v>0.89289802634050808</v>
      </c>
      <c r="V20">
        <v>1.5929588547121512</v>
      </c>
      <c r="W20">
        <v>5.4172954882091326E-2</v>
      </c>
      <c r="X20">
        <v>0.12179981790877024</v>
      </c>
      <c r="Z20">
        <v>1.7155732940367661</v>
      </c>
      <c r="AA20">
        <v>6.2822616002791098E-2</v>
      </c>
      <c r="AB20">
        <v>4.8322679271407126E-2</v>
      </c>
      <c r="AD20">
        <v>1.2236974892218822</v>
      </c>
      <c r="AE20">
        <v>4.6960681283991598E-2</v>
      </c>
      <c r="AF20">
        <v>2.9510872419353067E-2</v>
      </c>
    </row>
    <row r="21" spans="1:32" x14ac:dyDescent="0.2">
      <c r="A21">
        <v>9</v>
      </c>
      <c r="B21">
        <v>1.6690435479390453</v>
      </c>
      <c r="C21">
        <v>0.2498139303688271</v>
      </c>
      <c r="D21">
        <v>0.83252101625956076</v>
      </c>
      <c r="F21">
        <v>1.7635821613668101</v>
      </c>
      <c r="G21">
        <v>0.1964537839496375</v>
      </c>
      <c r="H21">
        <v>0.66164105081946045</v>
      </c>
      <c r="J21">
        <v>0.94908645883149179</v>
      </c>
      <c r="K21">
        <v>6.8857130254001045E-2</v>
      </c>
      <c r="L21">
        <v>0.43674729343230179</v>
      </c>
      <c r="N21">
        <v>4.0031451457938889</v>
      </c>
      <c r="O21">
        <v>0.22804208736186185</v>
      </c>
      <c r="P21">
        <v>0.81790705409013609</v>
      </c>
      <c r="R21">
        <v>4.4618973809363025</v>
      </c>
      <c r="S21">
        <v>0.23859437224800226</v>
      </c>
      <c r="T21">
        <v>0.96736576568631349</v>
      </c>
      <c r="V21">
        <v>1.5643689631568545</v>
      </c>
      <c r="W21">
        <v>5.8404781467048868E-2</v>
      </c>
      <c r="X21">
        <v>0.17173818022931187</v>
      </c>
      <c r="Z21">
        <v>1.7225646565112191</v>
      </c>
      <c r="AA21">
        <v>6.953514119660513E-2</v>
      </c>
      <c r="AB21">
        <v>5.6452989153761991E-2</v>
      </c>
      <c r="AD21">
        <v>1.1662483585750794</v>
      </c>
      <c r="AE21">
        <v>5.150056143910315E-2</v>
      </c>
      <c r="AF21">
        <v>3.4884338903531494E-2</v>
      </c>
    </row>
    <row r="22" spans="1:32" x14ac:dyDescent="0.2">
      <c r="A22">
        <v>9.5</v>
      </c>
      <c r="B22">
        <v>1.665546522077161</v>
      </c>
      <c r="C22">
        <v>0.26956481180076208</v>
      </c>
      <c r="D22">
        <v>0.85159483270947367</v>
      </c>
      <c r="F22">
        <v>1.7463240250627834</v>
      </c>
      <c r="G22">
        <v>0.20271986676791359</v>
      </c>
      <c r="H22">
        <v>0.6237499122916309</v>
      </c>
      <c r="J22">
        <v>0.94046876558345927</v>
      </c>
      <c r="K22">
        <v>7.5612672990248736E-2</v>
      </c>
      <c r="L22">
        <v>0.45078617024881795</v>
      </c>
      <c r="N22">
        <v>3.8380761830152159</v>
      </c>
      <c r="O22">
        <v>0.23879723490274718</v>
      </c>
      <c r="P22">
        <v>0.89486835778237228</v>
      </c>
      <c r="R22">
        <v>4.3791253171210318</v>
      </c>
      <c r="S22">
        <v>0.2527831857649025</v>
      </c>
      <c r="T22">
        <v>1.0234263373448338</v>
      </c>
      <c r="V22">
        <v>1.4663200681508801</v>
      </c>
      <c r="W22">
        <v>6.4319590780201719E-2</v>
      </c>
      <c r="X22">
        <v>0.19573121002018914</v>
      </c>
      <c r="Z22">
        <v>1.6161921820821226</v>
      </c>
      <c r="AA22">
        <v>8.1646598504146461E-2</v>
      </c>
      <c r="AB22">
        <v>7.0363841909502761E-2</v>
      </c>
      <c r="AD22">
        <v>1.1264754284105247</v>
      </c>
      <c r="AE22">
        <v>5.4080104207788408E-2</v>
      </c>
      <c r="AF22">
        <v>4.6158258883763438E-2</v>
      </c>
    </row>
    <row r="23" spans="1:32" x14ac:dyDescent="0.2">
      <c r="A23">
        <v>10</v>
      </c>
      <c r="B23">
        <v>1.6346093983135035</v>
      </c>
      <c r="C23">
        <v>0.29533110000726631</v>
      </c>
      <c r="D23">
        <v>0.87744311277757481</v>
      </c>
      <c r="F23">
        <v>1.7434967424172492</v>
      </c>
      <c r="G23">
        <v>0.21407078717016803</v>
      </c>
      <c r="H23">
        <v>0.6354711941490141</v>
      </c>
      <c r="J23">
        <v>0.87540129057200899</v>
      </c>
      <c r="K23">
        <v>8.4118593412716533E-2</v>
      </c>
      <c r="L23">
        <v>0.52807088632527721</v>
      </c>
      <c r="N23">
        <v>3.7003848676070841</v>
      </c>
      <c r="O23">
        <v>0.25381913005392498</v>
      </c>
      <c r="P23">
        <v>0.96941927570044262</v>
      </c>
      <c r="R23">
        <v>4.2109795653720266</v>
      </c>
      <c r="S23">
        <v>0.27427804741489226</v>
      </c>
      <c r="T23">
        <v>1.1174151647785753</v>
      </c>
      <c r="V23">
        <v>1.4124209775505465</v>
      </c>
      <c r="W23">
        <v>7.1981089985628507E-2</v>
      </c>
      <c r="X23">
        <v>0.23169171903404309</v>
      </c>
      <c r="Z23">
        <v>1.6077248013108649</v>
      </c>
      <c r="AA23">
        <v>9.5911862613322268E-2</v>
      </c>
      <c r="AB23">
        <v>9.1953448381276448E-2</v>
      </c>
      <c r="AD23">
        <v>1.1428696755262635</v>
      </c>
      <c r="AE23">
        <v>6.0363406186273151E-2</v>
      </c>
      <c r="AF23">
        <v>2.2604515131714093E-2</v>
      </c>
    </row>
    <row r="24" spans="1:32" x14ac:dyDescent="0.2">
      <c r="A24">
        <v>10.5</v>
      </c>
      <c r="B24">
        <v>1.5952227750931289</v>
      </c>
      <c r="C24">
        <v>0.32234273545581538</v>
      </c>
      <c r="D24">
        <v>0.93566111219114212</v>
      </c>
      <c r="F24">
        <v>1.7136041979078718</v>
      </c>
      <c r="G24">
        <v>0.22723452374180014</v>
      </c>
      <c r="H24">
        <v>0.62761337787925064</v>
      </c>
      <c r="J24">
        <v>0.84894906714437091</v>
      </c>
      <c r="K24">
        <v>9.5647678530330418E-2</v>
      </c>
      <c r="L24">
        <v>0.54509496618392084</v>
      </c>
      <c r="N24">
        <v>3.55015698150781</v>
      </c>
      <c r="O24">
        <v>0.27520594522659109</v>
      </c>
      <c r="P24">
        <v>1.0061255880928388</v>
      </c>
      <c r="R24">
        <v>3.9395289280274794</v>
      </c>
      <c r="S24">
        <v>0.29953221938562807</v>
      </c>
      <c r="T24">
        <v>1.1823431426820854</v>
      </c>
      <c r="V24">
        <v>1.3815642426733687</v>
      </c>
      <c r="W24">
        <v>8.0575001508642358E-2</v>
      </c>
      <c r="X24">
        <v>0.26807775354393432</v>
      </c>
      <c r="Z24">
        <v>1.6004554073068582</v>
      </c>
      <c r="AA24">
        <v>0.12264513713588787</v>
      </c>
      <c r="AB24">
        <v>0.10399905116380383</v>
      </c>
      <c r="AD24">
        <v>1.1166307729850951</v>
      </c>
      <c r="AE24">
        <v>6.3954090657878451E-2</v>
      </c>
      <c r="AF24">
        <v>5.5228857313332901E-2</v>
      </c>
    </row>
    <row r="25" spans="1:32" x14ac:dyDescent="0.2">
      <c r="A25">
        <v>11</v>
      </c>
      <c r="B25">
        <v>1.5904728745065846</v>
      </c>
      <c r="C25">
        <v>0.34653377853491074</v>
      </c>
      <c r="D25">
        <v>0.91079820163685954</v>
      </c>
      <c r="F25">
        <v>1.6816872377736534</v>
      </c>
      <c r="G25">
        <v>0.24417046158608907</v>
      </c>
      <c r="H25">
        <v>0.66138456787097133</v>
      </c>
      <c r="J25">
        <v>0.82266692323768598</v>
      </c>
      <c r="K25">
        <v>0.10668737922541666</v>
      </c>
      <c r="L25">
        <v>0.52806819588935316</v>
      </c>
      <c r="N25">
        <v>3.4385116415837427</v>
      </c>
      <c r="O25">
        <v>0.29679634636186902</v>
      </c>
      <c r="P25">
        <v>1.1631211861087778</v>
      </c>
      <c r="R25">
        <v>3.8612100300075403</v>
      </c>
      <c r="S25">
        <v>0.32886317481044608</v>
      </c>
      <c r="T25">
        <v>1.2928929936227131</v>
      </c>
      <c r="V25">
        <v>1.3260228963121183</v>
      </c>
      <c r="W25">
        <v>9.0211943051965587E-2</v>
      </c>
      <c r="X25">
        <v>0.30092028342929839</v>
      </c>
      <c r="Z25">
        <v>1.450799897272987</v>
      </c>
      <c r="AA25">
        <v>0.14409845715135206</v>
      </c>
      <c r="AB25">
        <v>0.11980590857143468</v>
      </c>
      <c r="AD25">
        <v>1.0928690574161484</v>
      </c>
      <c r="AE25">
        <v>7.2466946990803929E-2</v>
      </c>
      <c r="AF25">
        <v>5.3326486918306257E-2</v>
      </c>
    </row>
    <row r="26" spans="1:32" x14ac:dyDescent="0.2">
      <c r="A26">
        <v>11.5</v>
      </c>
      <c r="B26">
        <v>1.5526999751882362</v>
      </c>
      <c r="C26">
        <v>0.37312424230575153</v>
      </c>
      <c r="D26">
        <v>0.9747941963696577</v>
      </c>
      <c r="F26">
        <v>1.6792657497639349</v>
      </c>
      <c r="G26">
        <v>0.26117920736188294</v>
      </c>
      <c r="H26">
        <v>0.75744981982625326</v>
      </c>
      <c r="J26">
        <v>0.79810168429433714</v>
      </c>
      <c r="K26">
        <v>0.11826636510994028</v>
      </c>
      <c r="L26">
        <v>0.57577795859544822</v>
      </c>
      <c r="N26">
        <v>3.3221181961670605</v>
      </c>
      <c r="O26">
        <v>0.32250464927808337</v>
      </c>
      <c r="P26">
        <v>1.1916606986977059</v>
      </c>
      <c r="R26">
        <v>3.7512875246145994</v>
      </c>
      <c r="S26">
        <v>0.36109976565965846</v>
      </c>
      <c r="T26">
        <v>1.3639521657588025</v>
      </c>
      <c r="V26">
        <v>1.2842907987931549</v>
      </c>
      <c r="W26">
        <v>9.9491070859614519E-2</v>
      </c>
      <c r="X26">
        <v>0.33403625043007645</v>
      </c>
      <c r="Z26">
        <v>1.457223867867018</v>
      </c>
      <c r="AA26">
        <v>0.16476495277495179</v>
      </c>
      <c r="AB26">
        <v>0.15708506393497032</v>
      </c>
      <c r="AD26">
        <v>1.0843458469033311</v>
      </c>
      <c r="AE26">
        <v>7.5351369589177528E-2</v>
      </c>
      <c r="AF26">
        <v>5.5729205255214513E-2</v>
      </c>
    </row>
    <row r="27" spans="1:32" x14ac:dyDescent="0.2">
      <c r="A27">
        <v>12</v>
      </c>
      <c r="B27">
        <v>1.5336840641313878</v>
      </c>
      <c r="C27">
        <v>0.39717093256121139</v>
      </c>
      <c r="D27">
        <v>1.0143493813027322</v>
      </c>
      <c r="F27">
        <v>1.6447253845544387</v>
      </c>
      <c r="G27">
        <v>0.27789107248098804</v>
      </c>
      <c r="H27">
        <v>0.75055546300933584</v>
      </c>
      <c r="J27">
        <v>0.76884373985146182</v>
      </c>
      <c r="K27">
        <v>0.13037096789814101</v>
      </c>
      <c r="L27">
        <v>0.61326623002014913</v>
      </c>
      <c r="N27">
        <v>3.2156776414045307</v>
      </c>
      <c r="O27">
        <v>0.34630310872419307</v>
      </c>
      <c r="P27">
        <v>1.2936945342836044</v>
      </c>
      <c r="R27">
        <v>3.5816975370510771</v>
      </c>
      <c r="S27">
        <v>0.39278935141611321</v>
      </c>
      <c r="T27">
        <v>1.4265464520211559</v>
      </c>
      <c r="V27">
        <v>1.2422639701800657</v>
      </c>
      <c r="W27">
        <v>0.10917207384372211</v>
      </c>
      <c r="X27">
        <v>0.3659158393902408</v>
      </c>
      <c r="Z27">
        <v>1.4171986678478619</v>
      </c>
      <c r="AA27">
        <v>0.19229094789216386</v>
      </c>
      <c r="AB27">
        <v>0.18722853900582373</v>
      </c>
      <c r="AD27">
        <v>1.0580653216182052</v>
      </c>
      <c r="AE27">
        <v>8.1141170252174821E-2</v>
      </c>
      <c r="AF27">
        <v>7.1838815610856893E-2</v>
      </c>
    </row>
    <row r="28" spans="1:32" x14ac:dyDescent="0.2">
      <c r="A28">
        <v>12.5</v>
      </c>
      <c r="B28">
        <v>1.5190377540376496</v>
      </c>
      <c r="C28">
        <v>0.41817918357027656</v>
      </c>
      <c r="D28">
        <v>1.0263597884783129</v>
      </c>
      <c r="F28">
        <v>1.5831782668498791</v>
      </c>
      <c r="G28">
        <v>0.29548496597663548</v>
      </c>
      <c r="H28">
        <v>0.7709386990240058</v>
      </c>
      <c r="J28">
        <v>0.74496530152340479</v>
      </c>
      <c r="K28">
        <v>0.14086969436518149</v>
      </c>
      <c r="L28">
        <v>0.62734552522915732</v>
      </c>
      <c r="N28">
        <v>3.161928433830234</v>
      </c>
      <c r="O28">
        <v>0.37609196693615299</v>
      </c>
      <c r="P28">
        <v>1.4148403169150845</v>
      </c>
      <c r="R28">
        <v>3.5270776208496826</v>
      </c>
      <c r="S28">
        <v>0.42573159106685299</v>
      </c>
      <c r="T28">
        <v>1.4980970119225554</v>
      </c>
      <c r="V28">
        <v>1.2058051822934164</v>
      </c>
      <c r="W28">
        <v>0.11848187580638565</v>
      </c>
      <c r="X28">
        <v>0.39276708667230603</v>
      </c>
      <c r="Z28">
        <v>1.3657248680495639</v>
      </c>
      <c r="AA28">
        <v>0.21108128059454434</v>
      </c>
      <c r="AB28">
        <v>0.19596561288345932</v>
      </c>
      <c r="AD28">
        <v>1.0393764580797689</v>
      </c>
      <c r="AE28">
        <v>8.8788012986564899E-2</v>
      </c>
      <c r="AF28">
        <v>9.2879664469326467E-2</v>
      </c>
    </row>
    <row r="29" spans="1:32" x14ac:dyDescent="0.2">
      <c r="A29">
        <v>13</v>
      </c>
      <c r="B29">
        <v>1.4625839015249205</v>
      </c>
      <c r="C29">
        <v>0.43711028373141647</v>
      </c>
      <c r="D29">
        <v>1.0918559997064583</v>
      </c>
      <c r="F29">
        <v>1.5779681793444675</v>
      </c>
      <c r="G29">
        <v>0.31468809360906169</v>
      </c>
      <c r="H29">
        <v>0.78064954711031675</v>
      </c>
      <c r="J29">
        <v>0.73843184963207897</v>
      </c>
      <c r="K29">
        <v>0.15210834091428177</v>
      </c>
      <c r="L29">
        <v>0.64291023133472414</v>
      </c>
      <c r="N29">
        <v>3.121092700906317</v>
      </c>
      <c r="O29">
        <v>0.40081416154530963</v>
      </c>
      <c r="P29">
        <v>1.3995891815637806</v>
      </c>
      <c r="R29">
        <v>3.4685506585955119</v>
      </c>
      <c r="S29">
        <v>0.45742751311038604</v>
      </c>
      <c r="T29">
        <v>1.589653224089528</v>
      </c>
      <c r="V29">
        <v>1.2073549890683397</v>
      </c>
      <c r="W29">
        <v>0.12732220370345274</v>
      </c>
      <c r="X29">
        <v>0.40463798861107586</v>
      </c>
      <c r="Z29">
        <v>1.3256231705338304</v>
      </c>
      <c r="AA29">
        <v>0.23593829297720859</v>
      </c>
      <c r="AB29">
        <v>0.22313255313322272</v>
      </c>
      <c r="AD29">
        <v>1.0076586121919395</v>
      </c>
      <c r="AE29">
        <v>9.1427301672297304E-2</v>
      </c>
      <c r="AF29">
        <v>8.8332624112418684E-2</v>
      </c>
    </row>
    <row r="30" spans="1:32" x14ac:dyDescent="0.2">
      <c r="A30">
        <v>13.5</v>
      </c>
      <c r="B30">
        <v>1.482831523775612</v>
      </c>
      <c r="C30">
        <v>0.45416891980684054</v>
      </c>
      <c r="D30">
        <v>1.0809323962479733</v>
      </c>
      <c r="F30">
        <v>1.5601547058246628</v>
      </c>
      <c r="G30">
        <v>0.32332026198378522</v>
      </c>
      <c r="H30">
        <v>0.79913251995086565</v>
      </c>
      <c r="J30">
        <v>0.71878625416321185</v>
      </c>
      <c r="K30">
        <v>0.16256212831773018</v>
      </c>
      <c r="L30">
        <v>0.61446139212355411</v>
      </c>
      <c r="N30">
        <v>3.0772763805985996</v>
      </c>
      <c r="O30">
        <v>0.42717171313254693</v>
      </c>
      <c r="P30">
        <v>1.4329061622121408</v>
      </c>
      <c r="R30">
        <v>3.3529568449776002</v>
      </c>
      <c r="S30">
        <v>0.48934493565020609</v>
      </c>
      <c r="T30">
        <v>1.5964619523024193</v>
      </c>
      <c r="V30">
        <v>1.1756464192360088</v>
      </c>
      <c r="W30">
        <v>0.13554486905801441</v>
      </c>
      <c r="X30">
        <v>0.40963124587769201</v>
      </c>
      <c r="Z30">
        <v>1.2772177543530314</v>
      </c>
      <c r="AA30">
        <v>0.26071684356684827</v>
      </c>
      <c r="AB30">
        <v>0.28609572278548145</v>
      </c>
      <c r="AD30">
        <v>1.0162452188222508</v>
      </c>
      <c r="AE30">
        <v>9.3585466882650542E-2</v>
      </c>
      <c r="AF30">
        <v>9.565998869536578E-2</v>
      </c>
    </row>
    <row r="31" spans="1:32" x14ac:dyDescent="0.2">
      <c r="A31">
        <v>14</v>
      </c>
      <c r="B31">
        <v>1.4950174579852462</v>
      </c>
      <c r="C31">
        <v>0.46900821454522595</v>
      </c>
      <c r="D31">
        <v>1.0685265590423876</v>
      </c>
      <c r="F31">
        <v>1.5533317364098802</v>
      </c>
      <c r="G31">
        <v>0.33546584448376621</v>
      </c>
      <c r="H31">
        <v>0.83888101734495391</v>
      </c>
      <c r="J31">
        <v>0.70897523618085267</v>
      </c>
      <c r="K31">
        <v>0.1727629325280631</v>
      </c>
      <c r="L31">
        <v>0.60956264902274337</v>
      </c>
      <c r="N31">
        <v>3.0532454369033961</v>
      </c>
      <c r="O31">
        <v>0.45602483184389958</v>
      </c>
      <c r="P31">
        <v>1.4869393947581935</v>
      </c>
      <c r="R31">
        <v>3.2663244109839464</v>
      </c>
      <c r="S31">
        <v>0.52807216388098177</v>
      </c>
      <c r="T31">
        <v>1.5787482462911642</v>
      </c>
      <c r="V31">
        <v>1.1735132823939682</v>
      </c>
      <c r="W31">
        <v>0.1439435104826933</v>
      </c>
      <c r="X31">
        <v>0.44339739390839888</v>
      </c>
      <c r="Z31">
        <v>1.2162085667691249</v>
      </c>
      <c r="AA31">
        <v>0.28529659811598285</v>
      </c>
      <c r="AB31">
        <v>0.29470602799661932</v>
      </c>
      <c r="AD31">
        <v>1.0268529119738043</v>
      </c>
      <c r="AE31">
        <v>9.8095928425615112E-2</v>
      </c>
      <c r="AF31">
        <v>9.7360896203056393E-2</v>
      </c>
    </row>
    <row r="32" spans="1:32" x14ac:dyDescent="0.2">
      <c r="A32">
        <v>14.5</v>
      </c>
      <c r="B32">
        <v>1.4678949297934436</v>
      </c>
      <c r="C32">
        <v>0.48310330952418318</v>
      </c>
      <c r="D32">
        <v>1.0743788571540511</v>
      </c>
      <c r="F32">
        <v>1.5424550116102804</v>
      </c>
      <c r="G32">
        <v>0.34984475026707151</v>
      </c>
      <c r="H32">
        <v>0.81416668248414858</v>
      </c>
      <c r="J32">
        <v>0.7132143320477603</v>
      </c>
      <c r="K32">
        <v>0.18127111947145513</v>
      </c>
      <c r="L32">
        <v>0.65433959194274993</v>
      </c>
      <c r="N32">
        <v>3.007358717005868</v>
      </c>
      <c r="O32">
        <v>0.47941015538389131</v>
      </c>
      <c r="P32">
        <v>1.5220727960248017</v>
      </c>
      <c r="R32">
        <v>3.2627322646743515</v>
      </c>
      <c r="S32">
        <v>0.55239924029550014</v>
      </c>
      <c r="T32">
        <v>1.5666053148149766</v>
      </c>
      <c r="V32">
        <v>1.1360478071592337</v>
      </c>
      <c r="W32">
        <v>0.15130669901725632</v>
      </c>
      <c r="X32">
        <v>0.43810006011005903</v>
      </c>
      <c r="Z32">
        <v>1.211544116900793</v>
      </c>
      <c r="AA32">
        <v>0.30622214244073964</v>
      </c>
      <c r="AB32">
        <v>0.34175103476827257</v>
      </c>
      <c r="AD32">
        <v>0.99990922893871337</v>
      </c>
      <c r="AE32">
        <v>0.10517017646678994</v>
      </c>
      <c r="AF32">
        <v>0.12808152614185825</v>
      </c>
    </row>
    <row r="33" spans="1:32" x14ac:dyDescent="0.2">
      <c r="A33">
        <v>15</v>
      </c>
      <c r="B33">
        <v>1.4507963751488997</v>
      </c>
      <c r="C33">
        <v>0.49428022758290713</v>
      </c>
      <c r="D33">
        <v>1.0711508480395369</v>
      </c>
      <c r="F33">
        <v>1.5666635219295806</v>
      </c>
      <c r="G33">
        <v>0.3531735696366663</v>
      </c>
      <c r="H33">
        <v>0.81699269755960546</v>
      </c>
      <c r="J33">
        <v>0.68161864864952382</v>
      </c>
      <c r="K33">
        <v>0.19130977347723627</v>
      </c>
      <c r="L33">
        <v>0.60948351763413422</v>
      </c>
      <c r="N33">
        <v>3.0082794291585806</v>
      </c>
      <c r="O33">
        <v>0.5065338222748198</v>
      </c>
      <c r="P33">
        <v>1.5548905528111892</v>
      </c>
      <c r="R33">
        <v>3.2651953568672702</v>
      </c>
      <c r="S33">
        <v>0.57930734769929093</v>
      </c>
      <c r="T33">
        <v>1.629297337354972</v>
      </c>
      <c r="V33">
        <v>1.130305658513761</v>
      </c>
      <c r="W33">
        <v>0.15837324684540163</v>
      </c>
      <c r="X33">
        <v>0.45569285797826836</v>
      </c>
      <c r="Z33">
        <v>1.1591961266880602</v>
      </c>
      <c r="AA33">
        <v>0.32146584640917919</v>
      </c>
      <c r="AB33">
        <v>0.36174124076820297</v>
      </c>
      <c r="AD33">
        <v>1.0028322652401811</v>
      </c>
      <c r="AE33">
        <v>0.10487919188313656</v>
      </c>
      <c r="AF33">
        <v>0.12080772154520007</v>
      </c>
    </row>
    <row r="34" spans="1:32" x14ac:dyDescent="0.2">
      <c r="A34">
        <v>15.5</v>
      </c>
      <c r="B34">
        <v>1.4354739884866303</v>
      </c>
      <c r="C34">
        <v>0.51275778974838959</v>
      </c>
      <c r="D34">
        <v>1.0716209873247324</v>
      </c>
      <c r="F34">
        <v>1.5502308733106085</v>
      </c>
      <c r="G34">
        <v>0.3702340427846369</v>
      </c>
      <c r="H34">
        <v>0.84770733474219984</v>
      </c>
      <c r="J34">
        <v>0.68397761498445908</v>
      </c>
      <c r="K34">
        <v>0.1989195528170051</v>
      </c>
      <c r="L34">
        <v>0.61406393132687354</v>
      </c>
      <c r="N34">
        <v>2.9414133297728129</v>
      </c>
      <c r="O34">
        <v>0.53418497096144479</v>
      </c>
      <c r="P34">
        <v>1.5666783915837843</v>
      </c>
      <c r="R34">
        <v>3.2188783588665251</v>
      </c>
      <c r="S34">
        <v>0.60838776103439229</v>
      </c>
      <c r="T34">
        <v>1.594513006567434</v>
      </c>
      <c r="V34">
        <v>1.1167320908000935</v>
      </c>
      <c r="W34">
        <v>0.16424597288179921</v>
      </c>
      <c r="X34">
        <v>0.45122610347200959</v>
      </c>
      <c r="Z34">
        <v>1.1104813223648449</v>
      </c>
      <c r="AA34">
        <v>0.34081566262073026</v>
      </c>
      <c r="AB34">
        <v>0.40289706686733773</v>
      </c>
      <c r="AD34">
        <v>0.9949313482684965</v>
      </c>
      <c r="AE34">
        <v>0.10722384471732439</v>
      </c>
      <c r="AF34">
        <v>0.10739105146388478</v>
      </c>
    </row>
    <row r="35" spans="1:32" x14ac:dyDescent="0.2">
      <c r="A35">
        <v>16</v>
      </c>
      <c r="B35">
        <v>1.4434587865243769</v>
      </c>
      <c r="C35">
        <v>0.52897674431448727</v>
      </c>
      <c r="D35">
        <v>1.0801410232561144</v>
      </c>
      <c r="F35">
        <v>1.542432218717819</v>
      </c>
      <c r="G35">
        <v>0.37002621443972933</v>
      </c>
      <c r="H35">
        <v>0.88178216139070031</v>
      </c>
      <c r="J35">
        <v>0.6974859710731296</v>
      </c>
      <c r="K35">
        <v>0.20831028519623299</v>
      </c>
      <c r="L35">
        <v>0.64665624083034234</v>
      </c>
      <c r="N35">
        <v>2.9004608262776537</v>
      </c>
      <c r="O35">
        <v>0.55842977435799046</v>
      </c>
      <c r="P35">
        <v>1.5219389095137774</v>
      </c>
      <c r="R35">
        <v>3.1754383894167573</v>
      </c>
      <c r="S35">
        <v>0.63493864312764292</v>
      </c>
      <c r="T35">
        <v>1.7081997065364525</v>
      </c>
      <c r="V35">
        <v>1.1334186872530132</v>
      </c>
      <c r="W35">
        <v>0.16935059976650224</v>
      </c>
      <c r="X35">
        <v>0.46781897064688471</v>
      </c>
      <c r="Z35">
        <v>1.0811796733414472</v>
      </c>
      <c r="AA35">
        <v>0.35810521510178522</v>
      </c>
      <c r="AB35">
        <v>0.40248033129992544</v>
      </c>
      <c r="AD35">
        <v>0.98330229074455333</v>
      </c>
      <c r="AE35">
        <v>0.10807217771786388</v>
      </c>
      <c r="AF35">
        <v>0.11543355073814231</v>
      </c>
    </row>
    <row r="36" spans="1:32" x14ac:dyDescent="0.2">
      <c r="A36">
        <v>16.5</v>
      </c>
      <c r="B36">
        <v>1.3973692645355904</v>
      </c>
      <c r="C36">
        <v>0.53106572289989096</v>
      </c>
      <c r="D36">
        <v>1.0598447155849373</v>
      </c>
      <c r="F36">
        <v>1.5097092032470147</v>
      </c>
      <c r="G36">
        <v>0.37400630113717287</v>
      </c>
      <c r="H36">
        <v>0.85291309893300549</v>
      </c>
      <c r="J36">
        <v>0.68641440016315958</v>
      </c>
      <c r="K36">
        <v>0.21609349656510979</v>
      </c>
      <c r="L36">
        <v>0.62277655948551891</v>
      </c>
      <c r="N36">
        <v>2.8987572373553405</v>
      </c>
      <c r="O36">
        <v>0.58167117251663214</v>
      </c>
      <c r="P36">
        <v>1.5744029833925615</v>
      </c>
      <c r="R36">
        <v>3.1517197921856037</v>
      </c>
      <c r="S36">
        <v>0.65663856437061496</v>
      </c>
      <c r="T36">
        <v>1.7022997140570579</v>
      </c>
      <c r="V36">
        <v>1.1256289804801067</v>
      </c>
      <c r="W36">
        <v>0.17438057693813941</v>
      </c>
      <c r="X36">
        <v>0.52817694875288035</v>
      </c>
      <c r="Z36">
        <v>1.0755126529012395</v>
      </c>
      <c r="AA36">
        <v>0.37292044151817316</v>
      </c>
      <c r="AB36">
        <v>0.44057036214184431</v>
      </c>
      <c r="AD36">
        <v>1.0083701043700484</v>
      </c>
      <c r="AE36">
        <v>0.11202032171585395</v>
      </c>
      <c r="AF36">
        <v>0.13263295097297359</v>
      </c>
    </row>
    <row r="37" spans="1:32" x14ac:dyDescent="0.2">
      <c r="A37">
        <v>17</v>
      </c>
      <c r="B37">
        <v>1.4209239153463056</v>
      </c>
      <c r="C37">
        <v>0.53650219085167683</v>
      </c>
      <c r="D37">
        <v>1.1114146163683936</v>
      </c>
      <c r="F37">
        <v>1.4921428018217109</v>
      </c>
      <c r="G37">
        <v>0.38736349164777245</v>
      </c>
      <c r="H37">
        <v>0.85895142536306157</v>
      </c>
      <c r="J37">
        <v>0.69084518022615915</v>
      </c>
      <c r="K37">
        <v>0.22535718580778397</v>
      </c>
      <c r="L37">
        <v>0.60137139008579854</v>
      </c>
      <c r="N37">
        <v>2.9271723467988404</v>
      </c>
      <c r="O37">
        <v>0.5995477344958533</v>
      </c>
      <c r="P37">
        <v>1.5098609159637351</v>
      </c>
      <c r="R37">
        <v>3.1401989518641731</v>
      </c>
      <c r="S37">
        <v>0.68051747905101234</v>
      </c>
      <c r="T37">
        <v>1.7273157005522162</v>
      </c>
      <c r="V37">
        <v>1.1025458783536035</v>
      </c>
      <c r="W37">
        <v>0.17981671548769215</v>
      </c>
      <c r="X37">
        <v>0.47090725671842104</v>
      </c>
      <c r="Z37">
        <v>1.0214331910066312</v>
      </c>
      <c r="AA37">
        <v>0.39018741249696803</v>
      </c>
      <c r="AB37">
        <v>0.48859223464316709</v>
      </c>
      <c r="AD37">
        <v>1.0001512751722501</v>
      </c>
      <c r="AE37">
        <v>0.1139077364224238</v>
      </c>
      <c r="AF37">
        <v>0.13748120269372299</v>
      </c>
    </row>
    <row r="38" spans="1:32" x14ac:dyDescent="0.2">
      <c r="A38">
        <v>17.5</v>
      </c>
      <c r="B38">
        <v>1.415629486561468</v>
      </c>
      <c r="C38">
        <v>0.54459922567427288</v>
      </c>
      <c r="D38">
        <v>1.0878404981775076</v>
      </c>
      <c r="F38">
        <v>1.478457093503357</v>
      </c>
      <c r="G38">
        <v>0.39088065472066313</v>
      </c>
      <c r="H38">
        <v>0.87197223619962427</v>
      </c>
      <c r="J38">
        <v>0.66817137244187019</v>
      </c>
      <c r="K38">
        <v>0.2322099318849373</v>
      </c>
      <c r="L38">
        <v>0.58337346014321212</v>
      </c>
      <c r="N38">
        <v>2.8468967846490716</v>
      </c>
      <c r="O38">
        <v>0.62527891056716045</v>
      </c>
      <c r="P38">
        <v>1.5116482839191703</v>
      </c>
      <c r="R38">
        <v>3.1053285935361825</v>
      </c>
      <c r="S38">
        <v>0.70262003276944263</v>
      </c>
      <c r="T38">
        <v>1.7517484977708899</v>
      </c>
      <c r="V38">
        <v>1.1073935556831156</v>
      </c>
      <c r="W38">
        <v>0.1857880210556947</v>
      </c>
      <c r="X38">
        <v>0.5065303872318383</v>
      </c>
      <c r="Z38">
        <v>1.0128451323399561</v>
      </c>
      <c r="AA38">
        <v>0.39989104637643519</v>
      </c>
      <c r="AB38">
        <v>0.53974391198732785</v>
      </c>
      <c r="AD38">
        <v>0.97097216638775963</v>
      </c>
      <c r="AE38">
        <v>0.11728609656875622</v>
      </c>
      <c r="AF38">
        <v>0.13427871565945926</v>
      </c>
    </row>
    <row r="39" spans="1:32" x14ac:dyDescent="0.2">
      <c r="A39">
        <v>18</v>
      </c>
      <c r="B39">
        <v>1.3464757132856728</v>
      </c>
      <c r="C39">
        <v>0.54765815391422401</v>
      </c>
      <c r="D39">
        <v>1.1049159229350312</v>
      </c>
      <c r="F39">
        <v>1.4876673265677027</v>
      </c>
      <c r="G39">
        <v>0.39536980439094754</v>
      </c>
      <c r="H39">
        <v>0.88782822356778668</v>
      </c>
      <c r="J39">
        <v>0.66966262807865429</v>
      </c>
      <c r="K39">
        <v>0.23913936639602684</v>
      </c>
      <c r="L39">
        <v>0.65997983348993983</v>
      </c>
      <c r="N39">
        <v>2.8714203480217524</v>
      </c>
      <c r="O39">
        <v>0.64903121477075709</v>
      </c>
      <c r="P39">
        <v>1.4963415341501989</v>
      </c>
      <c r="R39">
        <v>3.1481820597765275</v>
      </c>
      <c r="S39">
        <v>0.72472309379234312</v>
      </c>
      <c r="T39">
        <v>1.8366689495022002</v>
      </c>
      <c r="V39">
        <v>1.1089687204648515</v>
      </c>
      <c r="W39">
        <v>0.19012121285225617</v>
      </c>
      <c r="X39">
        <v>0.50631999410602968</v>
      </c>
      <c r="Z39">
        <v>0.97576766158839057</v>
      </c>
      <c r="AA39">
        <v>0.40639239105492031</v>
      </c>
      <c r="AB39">
        <v>0.55137984283190067</v>
      </c>
      <c r="AD39">
        <v>0.99069128589054312</v>
      </c>
      <c r="AE39">
        <v>0.12030890902702196</v>
      </c>
      <c r="AF39">
        <v>0.14521376696030999</v>
      </c>
    </row>
    <row r="40" spans="1:32" x14ac:dyDescent="0.2">
      <c r="A40">
        <v>18.5</v>
      </c>
      <c r="B40">
        <v>1.3675639774259181</v>
      </c>
      <c r="C40">
        <v>0.55147526920146472</v>
      </c>
      <c r="D40">
        <v>1.1105427784260731</v>
      </c>
      <c r="F40">
        <v>1.5105926438666528</v>
      </c>
      <c r="G40">
        <v>0.39395452792197377</v>
      </c>
      <c r="H40">
        <v>0.87726469672429885</v>
      </c>
      <c r="J40">
        <v>0.68743872465545808</v>
      </c>
      <c r="K40">
        <v>0.24762951900417793</v>
      </c>
      <c r="L40">
        <v>0.62679180967571568</v>
      </c>
      <c r="N40">
        <v>2.7468368429446173</v>
      </c>
      <c r="O40">
        <v>0.67242609296314693</v>
      </c>
      <c r="P40">
        <v>1.5847323873909944</v>
      </c>
      <c r="R40">
        <v>3.1313454919067216</v>
      </c>
      <c r="S40">
        <v>0.74615915932026544</v>
      </c>
      <c r="T40">
        <v>1.7705537809858634</v>
      </c>
      <c r="V40">
        <v>1.1098972815771171</v>
      </c>
      <c r="W40">
        <v>0.19474832132009576</v>
      </c>
      <c r="X40">
        <v>0.51009149982153412</v>
      </c>
      <c r="Z40">
        <v>0.92675255794724831</v>
      </c>
      <c r="AA40">
        <v>0.41886868057477267</v>
      </c>
      <c r="AB40">
        <v>0.60360409948700167</v>
      </c>
      <c r="AD40">
        <v>0.9805206634527337</v>
      </c>
      <c r="AE40">
        <v>0.12149147827018032</v>
      </c>
      <c r="AF40">
        <v>0.14891384580487108</v>
      </c>
    </row>
    <row r="41" spans="1:32" x14ac:dyDescent="0.2">
      <c r="A41">
        <v>19</v>
      </c>
      <c r="B41">
        <v>1.3490572857428287</v>
      </c>
      <c r="C41">
        <v>0.55582641591061277</v>
      </c>
      <c r="D41">
        <v>1.0744399699503142</v>
      </c>
      <c r="F41">
        <v>1.4831934747886559</v>
      </c>
      <c r="G41">
        <v>0.39705692101976109</v>
      </c>
      <c r="H41">
        <v>0.88164892631951453</v>
      </c>
      <c r="J41">
        <v>0.69143996777820071</v>
      </c>
      <c r="K41">
        <v>0.25480242915993956</v>
      </c>
      <c r="L41">
        <v>0.6249290261253877</v>
      </c>
      <c r="N41">
        <v>2.8572588779432584</v>
      </c>
      <c r="O41">
        <v>0.69314165256081861</v>
      </c>
      <c r="P41">
        <v>1.5392849891685936</v>
      </c>
      <c r="R41">
        <v>3.1150548287873034</v>
      </c>
      <c r="S41">
        <v>0.76443243534680749</v>
      </c>
      <c r="T41">
        <v>1.7940035304883253</v>
      </c>
      <c r="V41">
        <v>1.0991661600276315</v>
      </c>
      <c r="W41">
        <v>0.20067537567975086</v>
      </c>
      <c r="X41">
        <v>0.50836772678825193</v>
      </c>
      <c r="Z41">
        <v>0.92064357266207208</v>
      </c>
      <c r="AA41">
        <v>0.43177545420893143</v>
      </c>
      <c r="AB41">
        <v>0.60051661298480907</v>
      </c>
      <c r="AD41">
        <v>0.93836010174018625</v>
      </c>
      <c r="AE41">
        <v>0.12507714157102789</v>
      </c>
      <c r="AF41">
        <v>0.14884332650182794</v>
      </c>
    </row>
    <row r="42" spans="1:32" x14ac:dyDescent="0.2">
      <c r="A42">
        <v>19.5</v>
      </c>
      <c r="B42">
        <v>1.3372608531174026</v>
      </c>
      <c r="C42">
        <v>0.56869788842834834</v>
      </c>
      <c r="D42">
        <v>1.0293515461932816</v>
      </c>
      <c r="F42">
        <v>1.5019703290404816</v>
      </c>
      <c r="G42">
        <v>0.39539529191066203</v>
      </c>
      <c r="H42">
        <v>0.88234029882125775</v>
      </c>
      <c r="J42">
        <v>0.69431732423977155</v>
      </c>
      <c r="K42">
        <v>0.26121649249585055</v>
      </c>
      <c r="L42">
        <v>0.6070431259270469</v>
      </c>
      <c r="N42">
        <v>2.8330313271014584</v>
      </c>
      <c r="O42">
        <v>0.71746207856646516</v>
      </c>
      <c r="P42">
        <v>1.5138978077381562</v>
      </c>
      <c r="R42">
        <v>3.0801739463170335</v>
      </c>
      <c r="S42">
        <v>0.78411947941854276</v>
      </c>
      <c r="T42">
        <v>1.7931697824695856</v>
      </c>
      <c r="V42">
        <v>1.0864845660400604</v>
      </c>
      <c r="W42">
        <v>0.20354585490215912</v>
      </c>
      <c r="X42">
        <v>0.52024778141380679</v>
      </c>
      <c r="Z42">
        <v>0.85126109048751331</v>
      </c>
      <c r="AA42">
        <v>0.4386549644610071</v>
      </c>
      <c r="AB42">
        <v>0.66846844945489492</v>
      </c>
      <c r="AD42">
        <v>0.97466267158050945</v>
      </c>
      <c r="AE42">
        <v>0.11831002960480759</v>
      </c>
      <c r="AF42">
        <v>0.17800708668479884</v>
      </c>
    </row>
    <row r="43" spans="1:32" x14ac:dyDescent="0.2">
      <c r="A43">
        <v>20</v>
      </c>
      <c r="B43">
        <v>1.3450234837967754</v>
      </c>
      <c r="C43">
        <v>0.57294671124580066</v>
      </c>
      <c r="D43">
        <v>1.1015052298016044</v>
      </c>
      <c r="F43">
        <v>1.4778487810333534</v>
      </c>
      <c r="G43">
        <v>0.40265947847116884</v>
      </c>
      <c r="H43">
        <v>0.87311303733956225</v>
      </c>
      <c r="J43">
        <v>0.69059862685146234</v>
      </c>
      <c r="K43">
        <v>0.27014562652866669</v>
      </c>
      <c r="L43">
        <v>0.63385542997206601</v>
      </c>
      <c r="N43">
        <v>2.8190312642220849</v>
      </c>
      <c r="O43">
        <v>0.73845950516370407</v>
      </c>
      <c r="P43">
        <v>1.5065485980921769</v>
      </c>
      <c r="R43">
        <v>3.129946099345569</v>
      </c>
      <c r="S43">
        <v>0.80510728866947523</v>
      </c>
      <c r="T43">
        <v>1.7592590624324524</v>
      </c>
      <c r="V43">
        <v>1.1026579904372102</v>
      </c>
      <c r="W43">
        <v>0.21165938633751863</v>
      </c>
      <c r="X43">
        <v>0.52118046483247726</v>
      </c>
      <c r="Z43">
        <v>0.83827864667370944</v>
      </c>
      <c r="AA43">
        <v>0.44638130430015738</v>
      </c>
      <c r="AB43">
        <v>0.70865874694036568</v>
      </c>
      <c r="AD43">
        <v>0.94114158951359084</v>
      </c>
      <c r="AE43">
        <v>0.12204325010651122</v>
      </c>
      <c r="AF43">
        <v>0.16041687369872551</v>
      </c>
    </row>
    <row r="44" spans="1:32" x14ac:dyDescent="0.2">
      <c r="A44">
        <v>20.5</v>
      </c>
      <c r="B44">
        <v>1.3460729326758578</v>
      </c>
      <c r="C44">
        <v>0.57037787454196365</v>
      </c>
      <c r="D44">
        <v>1.0155354164945625</v>
      </c>
      <c r="F44">
        <v>1.4727967372967261</v>
      </c>
      <c r="G44">
        <v>0.40034755761490765</v>
      </c>
      <c r="H44">
        <v>0.89380294559290574</v>
      </c>
      <c r="J44">
        <v>0.70282807912320178</v>
      </c>
      <c r="K44">
        <v>0.27175400519848975</v>
      </c>
      <c r="L44">
        <v>0.64326819591325668</v>
      </c>
      <c r="N44">
        <v>2.7838581750450233</v>
      </c>
      <c r="O44">
        <v>0.76142274965811541</v>
      </c>
      <c r="P44">
        <v>1.4906260457995504</v>
      </c>
      <c r="R44">
        <v>3.0434346542779234</v>
      </c>
      <c r="S44">
        <v>0.8208529851097871</v>
      </c>
      <c r="T44">
        <v>1.78433283032652</v>
      </c>
      <c r="V44">
        <v>1.0750482135700086</v>
      </c>
      <c r="W44">
        <v>0.21058258269251112</v>
      </c>
      <c r="X44">
        <v>0.55165851980446556</v>
      </c>
      <c r="Z44">
        <v>0.75109522449514077</v>
      </c>
      <c r="AA44">
        <v>0.45235305536812664</v>
      </c>
      <c r="AB44">
        <v>0.7191792677311869</v>
      </c>
      <c r="AD44">
        <v>0.95144670920020491</v>
      </c>
      <c r="AE44">
        <v>0.12175562497481307</v>
      </c>
      <c r="AF44">
        <v>0.17774851772287908</v>
      </c>
    </row>
    <row r="45" spans="1:32" x14ac:dyDescent="0.2">
      <c r="A45">
        <v>21</v>
      </c>
      <c r="B45">
        <v>1.3500786644147289</v>
      </c>
      <c r="C45">
        <v>0.56508487713227706</v>
      </c>
      <c r="D45">
        <v>1.0974425304106274</v>
      </c>
      <c r="F45">
        <v>1.523926035627599</v>
      </c>
      <c r="G45">
        <v>0.40768022376093199</v>
      </c>
      <c r="H45">
        <v>0.86211508667147063</v>
      </c>
      <c r="J45">
        <v>0.70652436036816346</v>
      </c>
      <c r="K45">
        <v>0.27614606823885568</v>
      </c>
      <c r="L45">
        <v>0.63817868255670152</v>
      </c>
      <c r="N45">
        <v>2.7897478194276091</v>
      </c>
      <c r="O45">
        <v>0.78456352131202967</v>
      </c>
      <c r="P45">
        <v>1.5406882886742983</v>
      </c>
      <c r="R45">
        <v>2.9960844398213515</v>
      </c>
      <c r="S45">
        <v>0.83389514679202315</v>
      </c>
      <c r="T45">
        <v>1.7768298367305266</v>
      </c>
      <c r="V45">
        <v>1.0784280393554444</v>
      </c>
      <c r="W45">
        <v>0.20847185798512244</v>
      </c>
      <c r="X45">
        <v>0.5145714595091706</v>
      </c>
      <c r="Z45">
        <v>0.75992998218876284</v>
      </c>
      <c r="AA45">
        <v>0.46145012051200168</v>
      </c>
      <c r="AB45">
        <v>0.76374695974032181</v>
      </c>
      <c r="AD45">
        <v>0.90846303183634269</v>
      </c>
      <c r="AE45">
        <v>0.12300427573731076</v>
      </c>
      <c r="AF45">
        <v>0.17985778591097729</v>
      </c>
    </row>
    <row r="46" spans="1:32" x14ac:dyDescent="0.2">
      <c r="A46">
        <v>21.5</v>
      </c>
      <c r="B46">
        <v>1.3379389435664066</v>
      </c>
      <c r="C46">
        <v>0.57046451846323365</v>
      </c>
      <c r="D46">
        <v>1.1325122074730141</v>
      </c>
      <c r="F46">
        <v>1.496445232890274</v>
      </c>
      <c r="G46">
        <v>0.40938299835071368</v>
      </c>
      <c r="H46">
        <v>0.94115352032166988</v>
      </c>
      <c r="J46">
        <v>0.73150952450512541</v>
      </c>
      <c r="K46">
        <v>0.27957440566646774</v>
      </c>
      <c r="L46">
        <v>0.63892824949705407</v>
      </c>
      <c r="N46">
        <v>2.7514772290148835</v>
      </c>
      <c r="O46">
        <v>0.80789124937548695</v>
      </c>
      <c r="P46">
        <v>1.5445889425108548</v>
      </c>
      <c r="R46">
        <v>3.0678081633847083</v>
      </c>
      <c r="S46">
        <v>0.84263760800294607</v>
      </c>
      <c r="T46">
        <v>1.8034328006337961</v>
      </c>
      <c r="V46">
        <v>1.1018158220502781</v>
      </c>
      <c r="W46">
        <v>0.20980413596240535</v>
      </c>
      <c r="X46">
        <v>0.52780013286136129</v>
      </c>
      <c r="Z46">
        <v>0.70067734615657462</v>
      </c>
      <c r="AA46">
        <v>0.4695525102314676</v>
      </c>
      <c r="AB46">
        <v>0.76913516156024153</v>
      </c>
      <c r="AD46">
        <v>0.91120765723463093</v>
      </c>
      <c r="AE46">
        <v>0.12492319222487527</v>
      </c>
      <c r="AF46">
        <v>0.16585495027005315</v>
      </c>
    </row>
    <row r="47" spans="1:32" x14ac:dyDescent="0.2">
      <c r="A47">
        <v>22</v>
      </c>
      <c r="B47">
        <v>1.3296435759917498</v>
      </c>
      <c r="C47">
        <v>0.57834275267742807</v>
      </c>
      <c r="D47">
        <v>1.0963484765329823</v>
      </c>
      <c r="F47">
        <v>1.5343490997650366</v>
      </c>
      <c r="G47">
        <v>0.41307167936960976</v>
      </c>
      <c r="H47">
        <v>0.90881157740056528</v>
      </c>
      <c r="J47">
        <v>0.71438500937451654</v>
      </c>
      <c r="K47">
        <v>0.28703424430133007</v>
      </c>
      <c r="L47">
        <v>0.68442552224230579</v>
      </c>
      <c r="N47">
        <v>2.7023980903166613</v>
      </c>
      <c r="O47">
        <v>0.82705201549297436</v>
      </c>
      <c r="P47">
        <v>1.5429511044315691</v>
      </c>
      <c r="R47">
        <v>3.0077882224494972</v>
      </c>
      <c r="S47">
        <v>0.85986828789163106</v>
      </c>
      <c r="T47">
        <v>1.7379912636099974</v>
      </c>
      <c r="V47">
        <v>1.0947772796329798</v>
      </c>
      <c r="W47">
        <v>0.20874894991968104</v>
      </c>
      <c r="X47">
        <v>0.56146359882259822</v>
      </c>
      <c r="Z47">
        <v>0.69344359394395871</v>
      </c>
      <c r="AA47">
        <v>0.47246723219231751</v>
      </c>
      <c r="AB47">
        <v>0.79715596581817338</v>
      </c>
      <c r="AD47">
        <v>0.93354490640351662</v>
      </c>
      <c r="AE47">
        <v>0.12759863108001226</v>
      </c>
      <c r="AF47">
        <v>0.19369492539056002</v>
      </c>
    </row>
    <row r="48" spans="1:32" x14ac:dyDescent="0.2">
      <c r="A48">
        <v>22.5</v>
      </c>
      <c r="B48">
        <v>1.3110618030904173</v>
      </c>
      <c r="C48">
        <v>0.57653633439365637</v>
      </c>
      <c r="D48">
        <v>1.093231530889377</v>
      </c>
      <c r="F48">
        <v>1.5382747516213491</v>
      </c>
      <c r="G48">
        <v>0.42226052376675738</v>
      </c>
      <c r="H48">
        <v>0.93994888285676892</v>
      </c>
      <c r="J48">
        <v>0.70099291062480862</v>
      </c>
      <c r="K48">
        <v>0.29128108876251207</v>
      </c>
      <c r="L48">
        <v>0.67557520433635843</v>
      </c>
      <c r="N48">
        <v>2.7268787490818314</v>
      </c>
      <c r="O48">
        <v>0.85187122341184673</v>
      </c>
      <c r="P48">
        <v>1.5841300966729972</v>
      </c>
      <c r="R48">
        <v>3.0684716981826781</v>
      </c>
      <c r="S48">
        <v>0.86744725707911818</v>
      </c>
      <c r="T48">
        <v>1.7895586021673904</v>
      </c>
      <c r="V48">
        <v>1.0796520992810841</v>
      </c>
      <c r="W48">
        <v>0.2072288729020115</v>
      </c>
      <c r="X48">
        <v>0.52911724366895607</v>
      </c>
      <c r="Z48">
        <v>0.64716083575529626</v>
      </c>
      <c r="AA48">
        <v>0.48460346080794142</v>
      </c>
      <c r="AB48">
        <v>0.8480411085015237</v>
      </c>
      <c r="AD48">
        <v>0.90493737760946247</v>
      </c>
      <c r="AE48">
        <v>0.12767901263011824</v>
      </c>
      <c r="AF48">
        <v>0.21737861424800703</v>
      </c>
    </row>
    <row r="49" spans="1:32" x14ac:dyDescent="0.2">
      <c r="A49">
        <v>23</v>
      </c>
      <c r="B49">
        <v>1.3037110128550962</v>
      </c>
      <c r="C49">
        <v>0.58059723791137385</v>
      </c>
      <c r="D49">
        <v>1.1110006548799376</v>
      </c>
      <c r="F49">
        <v>1.5097753285046145</v>
      </c>
      <c r="G49">
        <v>0.42554957976200103</v>
      </c>
      <c r="H49">
        <v>0.90661420931011849</v>
      </c>
      <c r="J49">
        <v>0.69902576412542849</v>
      </c>
      <c r="K49">
        <v>0.29467576573735982</v>
      </c>
      <c r="L49">
        <v>0.66092331158554851</v>
      </c>
      <c r="N49">
        <v>2.7529224957909451</v>
      </c>
      <c r="O49">
        <v>0.87146341012120365</v>
      </c>
      <c r="P49">
        <v>1.524720223071317</v>
      </c>
      <c r="R49">
        <v>3.1076627805570349</v>
      </c>
      <c r="S49">
        <v>0.87677476398141763</v>
      </c>
      <c r="T49">
        <v>1.7832973536643908</v>
      </c>
      <c r="V49">
        <v>1.1052196843353279</v>
      </c>
      <c r="W49">
        <v>0.21127348367948365</v>
      </c>
      <c r="X49">
        <v>0.55010524369264824</v>
      </c>
      <c r="Z49">
        <v>0.68222973579295565</v>
      </c>
      <c r="AA49">
        <v>0.49406073932402927</v>
      </c>
      <c r="AB49">
        <v>0.87603673712377628</v>
      </c>
      <c r="AD49">
        <v>0.91493873219568933</v>
      </c>
      <c r="AE49">
        <v>0.13020365256146535</v>
      </c>
      <c r="AF49">
        <v>0.22793851077543037</v>
      </c>
    </row>
    <row r="50" spans="1:32" x14ac:dyDescent="0.2">
      <c r="A50">
        <v>23.5</v>
      </c>
      <c r="B50">
        <v>1.3285450815361819</v>
      </c>
      <c r="C50">
        <v>0.58229569797509095</v>
      </c>
      <c r="D50">
        <v>1.0986115557992759</v>
      </c>
      <c r="F50">
        <v>1.4787353682648503</v>
      </c>
      <c r="G50">
        <v>0.42777783715865081</v>
      </c>
      <c r="H50">
        <v>0.92237066369004639</v>
      </c>
      <c r="J50">
        <v>0.67546591362380404</v>
      </c>
      <c r="K50">
        <v>0.29529308078737065</v>
      </c>
      <c r="L50">
        <v>0.66008096972208019</v>
      </c>
      <c r="N50">
        <v>2.7299346491613412</v>
      </c>
      <c r="O50">
        <v>0.89533418104190055</v>
      </c>
      <c r="P50">
        <v>1.5828304977877545</v>
      </c>
      <c r="R50">
        <v>3.0357076584492559</v>
      </c>
      <c r="S50">
        <v>0.88646592263928747</v>
      </c>
      <c r="T50">
        <v>1.8090359642241522</v>
      </c>
      <c r="V50">
        <v>1.1090521552922452</v>
      </c>
      <c r="W50">
        <v>0.21019289686549869</v>
      </c>
      <c r="X50">
        <v>0.55368264995055982</v>
      </c>
      <c r="Z50">
        <v>0.61291472861330132</v>
      </c>
      <c r="AA50">
        <v>0.50663895659679747</v>
      </c>
      <c r="AB50">
        <v>0.865431033567853</v>
      </c>
      <c r="AD50">
        <v>0.88636171077004122</v>
      </c>
      <c r="AE50">
        <v>0.13360313216913067</v>
      </c>
      <c r="AF50">
        <v>0.22326142547609645</v>
      </c>
    </row>
    <row r="51" spans="1:32" x14ac:dyDescent="0.2">
      <c r="A51">
        <v>24</v>
      </c>
      <c r="B51">
        <v>1.3198061245970796</v>
      </c>
      <c r="C51">
        <v>0.56827030430352199</v>
      </c>
      <c r="D51">
        <v>1.1159679117559593</v>
      </c>
      <c r="F51">
        <v>1.475971332643127</v>
      </c>
      <c r="G51">
        <v>0.43576900328405799</v>
      </c>
      <c r="H51">
        <v>0.92025534000334175</v>
      </c>
      <c r="J51">
        <v>0.70521600588231503</v>
      </c>
      <c r="K51">
        <v>0.30376065818679893</v>
      </c>
      <c r="L51">
        <v>0.6541023911986712</v>
      </c>
      <c r="N51">
        <v>2.7395940161141059</v>
      </c>
      <c r="O51">
        <v>0.91412915070497458</v>
      </c>
      <c r="P51">
        <v>1.6005036896106752</v>
      </c>
      <c r="R51">
        <v>3.0235814537796584</v>
      </c>
      <c r="S51">
        <v>0.90282271466424424</v>
      </c>
      <c r="T51">
        <v>1.7825344603229145</v>
      </c>
      <c r="V51">
        <v>1.0350935766796916</v>
      </c>
      <c r="W51">
        <v>0.21310712867830967</v>
      </c>
      <c r="X51">
        <v>0.57690837880605816</v>
      </c>
      <c r="Z51">
        <v>0.58322822927202045</v>
      </c>
      <c r="AA51">
        <v>0.51443346585348781</v>
      </c>
      <c r="AB51">
        <v>0.92638844670877574</v>
      </c>
      <c r="AD51">
        <v>0.8954429909812569</v>
      </c>
      <c r="AE51">
        <v>0.13394668395195661</v>
      </c>
      <c r="AF51">
        <v>0.23777754819598895</v>
      </c>
    </row>
    <row r="52" spans="1:32" x14ac:dyDescent="0.2">
      <c r="A52">
        <v>24.5</v>
      </c>
      <c r="B52">
        <v>1.3007737394118841</v>
      </c>
      <c r="C52">
        <v>0.58340021400600317</v>
      </c>
      <c r="D52">
        <v>1.1622952996119533</v>
      </c>
      <c r="F52">
        <v>1.4728723503446992</v>
      </c>
      <c r="G52">
        <v>0.43491216849561892</v>
      </c>
      <c r="H52">
        <v>0.96420766094466204</v>
      </c>
      <c r="J52">
        <v>0.69420042516982827</v>
      </c>
      <c r="K52">
        <v>0.30703087274052765</v>
      </c>
      <c r="L52">
        <v>0.70771327442112419</v>
      </c>
      <c r="N52">
        <v>2.7316568449330814</v>
      </c>
      <c r="O52">
        <v>0.93009075091163973</v>
      </c>
      <c r="P52">
        <v>1.636281837148754</v>
      </c>
      <c r="R52">
        <v>3.0729326458386268</v>
      </c>
      <c r="S52">
        <v>0.91160233691951609</v>
      </c>
      <c r="T52">
        <v>1.7950048958527445</v>
      </c>
      <c r="V52">
        <v>1.0729897702753222</v>
      </c>
      <c r="W52">
        <v>0.21635054856777805</v>
      </c>
      <c r="X52">
        <v>0.5635733522027353</v>
      </c>
      <c r="Z52">
        <v>0.58490507893828525</v>
      </c>
      <c r="AA52">
        <v>0.51850201976871979</v>
      </c>
      <c r="AB52">
        <v>0.91147017067465164</v>
      </c>
      <c r="AD52">
        <v>0.93857398667637348</v>
      </c>
      <c r="AE52">
        <v>0.1391919670314728</v>
      </c>
      <c r="AF52">
        <v>0.23987969833981163</v>
      </c>
    </row>
    <row r="53" spans="1:32" x14ac:dyDescent="0.2">
      <c r="A53">
        <v>25</v>
      </c>
      <c r="B53">
        <v>1.3083349303387704</v>
      </c>
      <c r="C53">
        <v>0.60564972832414754</v>
      </c>
      <c r="D53">
        <v>1.1350256175283697</v>
      </c>
      <c r="F53">
        <v>1.4849912704220039</v>
      </c>
      <c r="G53">
        <v>0.43562647323179654</v>
      </c>
      <c r="H53">
        <v>0.92953697885880204</v>
      </c>
      <c r="J53">
        <v>0.71390708069727205</v>
      </c>
      <c r="K53">
        <v>0.31486635173899563</v>
      </c>
      <c r="L53">
        <v>0.70834561754226588</v>
      </c>
      <c r="N53">
        <v>2.7200729623461513</v>
      </c>
      <c r="O53">
        <v>0.95257345238353741</v>
      </c>
      <c r="P53">
        <v>1.6428923260131831</v>
      </c>
      <c r="R53">
        <v>3.0428649151134306</v>
      </c>
      <c r="S53">
        <v>0.91835895990366945</v>
      </c>
      <c r="T53">
        <v>1.7971449812612368</v>
      </c>
      <c r="V53">
        <v>1.0461008814951953</v>
      </c>
      <c r="W53">
        <v>0.21201396679188628</v>
      </c>
      <c r="X53">
        <v>0.59067234968959692</v>
      </c>
      <c r="Z53">
        <v>0.58558507744692012</v>
      </c>
      <c r="AA53">
        <v>0.52837545131637609</v>
      </c>
      <c r="AB53">
        <v>0.95586822717104192</v>
      </c>
      <c r="AD53">
        <v>0.88485212817283643</v>
      </c>
      <c r="AE53">
        <v>0.14325982827357231</v>
      </c>
      <c r="AF53">
        <v>0.23263324374973404</v>
      </c>
    </row>
    <row r="54" spans="1:32" x14ac:dyDescent="0.2">
      <c r="A54">
        <v>25.5</v>
      </c>
      <c r="B54">
        <v>1.2805165060898929</v>
      </c>
      <c r="C54">
        <v>0.60171383953857849</v>
      </c>
      <c r="D54">
        <v>1.167343010284271</v>
      </c>
      <c r="F54">
        <v>1.4302894616302633</v>
      </c>
      <c r="G54">
        <v>0.44234226486450801</v>
      </c>
      <c r="H54">
        <v>0.95594423268877271</v>
      </c>
      <c r="J54">
        <v>0.6679819769408708</v>
      </c>
      <c r="K54">
        <v>0.30927868883547627</v>
      </c>
      <c r="L54">
        <v>0.6484195580497788</v>
      </c>
      <c r="N54">
        <v>2.6777463673438002</v>
      </c>
      <c r="O54">
        <v>0.94006867995977028</v>
      </c>
      <c r="P54">
        <v>1.5804820390282091</v>
      </c>
      <c r="R54">
        <v>3.047453560200879</v>
      </c>
      <c r="S54">
        <v>0.93660923652956685</v>
      </c>
      <c r="T54">
        <v>1.8559660122981501</v>
      </c>
      <c r="V54">
        <v>1.0707742400559697</v>
      </c>
      <c r="W54">
        <v>0.21602055955817817</v>
      </c>
      <c r="X54">
        <v>0.56282619095379005</v>
      </c>
      <c r="Z54">
        <v>0.55715913770222614</v>
      </c>
      <c r="AA54">
        <v>0.53523129534801839</v>
      </c>
      <c r="AB54">
        <v>1.0012066685609542</v>
      </c>
      <c r="AD54">
        <v>0.90884293130379223</v>
      </c>
      <c r="AE54">
        <v>0.13969160934307648</v>
      </c>
      <c r="AF54">
        <v>0.25376910330266794</v>
      </c>
    </row>
    <row r="55" spans="1:32" x14ac:dyDescent="0.2">
      <c r="A55">
        <v>26</v>
      </c>
      <c r="B55">
        <v>1.2688684323002017</v>
      </c>
      <c r="C55">
        <v>0.60825065062093897</v>
      </c>
      <c r="D55">
        <v>1.1694546980969347</v>
      </c>
      <c r="F55">
        <v>1.5138280184642734</v>
      </c>
      <c r="G55">
        <v>0.44096886595498747</v>
      </c>
      <c r="H55">
        <v>0.99038277966149779</v>
      </c>
      <c r="J55">
        <v>0.68967999924537249</v>
      </c>
      <c r="K55">
        <v>0.31478932535919663</v>
      </c>
      <c r="L55">
        <v>0.67568666479702955</v>
      </c>
      <c r="N55">
        <v>2.6859180280719932</v>
      </c>
      <c r="O55">
        <v>0.96231414072828547</v>
      </c>
      <c r="P55">
        <v>1.5849565320470393</v>
      </c>
      <c r="R55">
        <v>3.1240109698776224</v>
      </c>
      <c r="S55">
        <v>0.94053344832415475</v>
      </c>
      <c r="T55">
        <v>1.8718525520246705</v>
      </c>
      <c r="V55">
        <v>1.0837878289965994</v>
      </c>
      <c r="W55">
        <v>0.21866820767474252</v>
      </c>
      <c r="X55">
        <v>0.58161454555583691</v>
      </c>
      <c r="Z55">
        <v>0.57444408792898383</v>
      </c>
      <c r="AA55">
        <v>0.54456161915322143</v>
      </c>
      <c r="AB55">
        <v>0.95923223780751254</v>
      </c>
      <c r="AD55">
        <v>0.88856515901070188</v>
      </c>
      <c r="AE55">
        <v>0.14194950480994636</v>
      </c>
      <c r="AF55">
        <v>0.23543193871695872</v>
      </c>
    </row>
    <row r="56" spans="1:32" x14ac:dyDescent="0.2">
      <c r="A56">
        <v>26.5</v>
      </c>
      <c r="B56">
        <v>1.284766682071466</v>
      </c>
      <c r="C56">
        <v>0.6078815772726156</v>
      </c>
      <c r="D56">
        <v>1.166660380846734</v>
      </c>
      <c r="F56">
        <v>1.4524279773639062</v>
      </c>
      <c r="G56">
        <v>0.45045863813972109</v>
      </c>
      <c r="H56">
        <v>0.9560551441053633</v>
      </c>
      <c r="J56">
        <v>0.69147387184178222</v>
      </c>
      <c r="K56">
        <v>0.32198845616828342</v>
      </c>
      <c r="L56">
        <v>0.71859642926692602</v>
      </c>
      <c r="N56">
        <v>2.6160068174741582</v>
      </c>
      <c r="O56">
        <v>0.98874820210994874</v>
      </c>
      <c r="P56">
        <v>1.6010703015690488</v>
      </c>
      <c r="R56">
        <v>3.1236605650307676</v>
      </c>
      <c r="S56">
        <v>0.93706205341541848</v>
      </c>
      <c r="T56">
        <v>1.8125021712471332</v>
      </c>
      <c r="V56">
        <v>1.0718203271687738</v>
      </c>
      <c r="W56">
        <v>0.21729506046299829</v>
      </c>
      <c r="X56">
        <v>0.59285897983842017</v>
      </c>
      <c r="Z56">
        <v>0.54603025912624692</v>
      </c>
      <c r="AA56">
        <v>0.54596813276307776</v>
      </c>
      <c r="AB56">
        <v>1.0028401800045632</v>
      </c>
      <c r="AD56">
        <v>0.87420924383589738</v>
      </c>
      <c r="AE56">
        <v>0.14459671150825826</v>
      </c>
      <c r="AF56">
        <v>0.25301848964607498</v>
      </c>
    </row>
    <row r="57" spans="1:32" x14ac:dyDescent="0.2">
      <c r="A57">
        <v>27</v>
      </c>
      <c r="B57">
        <v>1.3225444705448957</v>
      </c>
      <c r="C57">
        <v>0.62047703329248605</v>
      </c>
      <c r="D57">
        <v>1.1971600921565702</v>
      </c>
      <c r="F57">
        <v>1.4656850216039006</v>
      </c>
      <c r="G57">
        <v>0.45494786105060298</v>
      </c>
      <c r="H57">
        <v>1.0021958147915517</v>
      </c>
      <c r="J57">
        <v>0.68258012354999864</v>
      </c>
      <c r="K57">
        <v>0.31696752260666672</v>
      </c>
      <c r="L57">
        <v>0.69025770049677293</v>
      </c>
      <c r="N57">
        <v>2.6433515466688351</v>
      </c>
      <c r="O57">
        <v>1.004513690720771</v>
      </c>
      <c r="P57">
        <v>1.582482992896755</v>
      </c>
      <c r="R57">
        <v>3.1315677995341806</v>
      </c>
      <c r="S57">
        <v>0.95212435653531369</v>
      </c>
      <c r="T57">
        <v>1.837274867843824</v>
      </c>
      <c r="V57">
        <v>1.0490209221416902</v>
      </c>
      <c r="W57">
        <v>0.22224088477907583</v>
      </c>
      <c r="X57">
        <v>0.56818891917348446</v>
      </c>
      <c r="Z57">
        <v>0.54029243502864477</v>
      </c>
      <c r="AA57">
        <v>0.55469211492071313</v>
      </c>
      <c r="AB57">
        <v>1.0087183552500276</v>
      </c>
      <c r="AD57">
        <v>0.89133200281009228</v>
      </c>
      <c r="AE57">
        <v>0.15264643094528826</v>
      </c>
      <c r="AF57">
        <v>0.25005312125866258</v>
      </c>
    </row>
    <row r="58" spans="1:32" x14ac:dyDescent="0.2">
      <c r="A58">
        <v>27.5</v>
      </c>
      <c r="B58">
        <v>1.2970798662792755</v>
      </c>
      <c r="C58">
        <v>0.62605848575595324</v>
      </c>
      <c r="D58">
        <v>1.2049483961114096</v>
      </c>
      <c r="F58">
        <v>1.4922772707409453</v>
      </c>
      <c r="G58">
        <v>0.47236926438356358</v>
      </c>
      <c r="H58">
        <v>0.9670623862543527</v>
      </c>
      <c r="J58">
        <v>0.71101837027034087</v>
      </c>
      <c r="K58">
        <v>0.32192740965687999</v>
      </c>
      <c r="L58">
        <v>0.65106542952978042</v>
      </c>
      <c r="N58">
        <v>2.6274151246399655</v>
      </c>
      <c r="O58">
        <v>1.0216828694062554</v>
      </c>
      <c r="P58">
        <v>1.6827595605719028</v>
      </c>
      <c r="R58">
        <v>3.0916287022911257</v>
      </c>
      <c r="S58">
        <v>0.93494381178696784</v>
      </c>
      <c r="T58">
        <v>1.8615140697410104</v>
      </c>
      <c r="V58">
        <v>1.0361252311284561</v>
      </c>
      <c r="W58">
        <v>0.22655317263029959</v>
      </c>
      <c r="X58">
        <v>0.60522456531419866</v>
      </c>
      <c r="Z58">
        <v>0.51386802409951526</v>
      </c>
      <c r="AA58">
        <v>0.56086796628460989</v>
      </c>
      <c r="AB58">
        <v>0.98389170029721496</v>
      </c>
      <c r="AD58">
        <v>0.8481288456411149</v>
      </c>
      <c r="AE58">
        <v>0.15070536523212091</v>
      </c>
      <c r="AF58">
        <v>0.24775089121568622</v>
      </c>
    </row>
    <row r="59" spans="1:32" x14ac:dyDescent="0.2">
      <c r="A59">
        <v>28</v>
      </c>
      <c r="B59">
        <v>1.2558601194639993</v>
      </c>
      <c r="C59">
        <v>0.62183274209737038</v>
      </c>
      <c r="D59">
        <v>1.1925593113873636</v>
      </c>
      <c r="F59">
        <v>1.5032476877978336</v>
      </c>
      <c r="G59">
        <v>0.45871615318057879</v>
      </c>
      <c r="H59">
        <v>1.0061424233628427</v>
      </c>
      <c r="J59">
        <v>0.66417128280277049</v>
      </c>
      <c r="K59">
        <v>0.31689489526691572</v>
      </c>
      <c r="L59">
        <v>0.7064899138077948</v>
      </c>
      <c r="N59">
        <v>2.688597436198072</v>
      </c>
      <c r="O59">
        <v>1.0405164274218259</v>
      </c>
      <c r="P59">
        <v>1.609125233487865</v>
      </c>
      <c r="R59">
        <v>3.0829570514102191</v>
      </c>
      <c r="S59">
        <v>0.96186084132625782</v>
      </c>
      <c r="T59">
        <v>1.9729989367288192</v>
      </c>
      <c r="V59">
        <v>1.0871800582492639</v>
      </c>
      <c r="W59">
        <v>0.22731557846814904</v>
      </c>
      <c r="X59">
        <v>0.62260860187868738</v>
      </c>
      <c r="Z59">
        <v>0.51844383356675794</v>
      </c>
      <c r="AA59">
        <v>0.56963860380444598</v>
      </c>
      <c r="AB59">
        <v>1.0334009529191395</v>
      </c>
      <c r="AD59">
        <v>0.88068422959177206</v>
      </c>
      <c r="AE59">
        <v>0.1521802897413721</v>
      </c>
      <c r="AF59">
        <v>0.26133851724616974</v>
      </c>
    </row>
    <row r="60" spans="1:32" x14ac:dyDescent="0.2">
      <c r="A60">
        <v>28.5</v>
      </c>
      <c r="B60">
        <v>1.2598009099011531</v>
      </c>
      <c r="C60">
        <v>0.62411920412895594</v>
      </c>
      <c r="D60">
        <v>1.2220159412705744</v>
      </c>
      <c r="F60">
        <v>1.4434449716757247</v>
      </c>
      <c r="G60">
        <v>0.47167522254111871</v>
      </c>
      <c r="H60">
        <v>0.96292511722683194</v>
      </c>
      <c r="J60">
        <v>0.69169872966298296</v>
      </c>
      <c r="K60">
        <v>0.32575461149227436</v>
      </c>
      <c r="L60">
        <v>0.71530328204075955</v>
      </c>
      <c r="N60">
        <v>2.664720161417192</v>
      </c>
      <c r="O60">
        <v>1.0563858051505604</v>
      </c>
      <c r="P60">
        <v>1.6006822982252182</v>
      </c>
      <c r="R60">
        <v>3.0868057416297474</v>
      </c>
      <c r="S60">
        <v>0.97204243165366588</v>
      </c>
      <c r="T60">
        <v>1.9302350624727882</v>
      </c>
      <c r="V60">
        <v>1.0495169509806763</v>
      </c>
      <c r="W60">
        <v>0.22514076315138468</v>
      </c>
      <c r="X60">
        <v>0.64069837169631172</v>
      </c>
      <c r="Z60">
        <v>0.49032989637072855</v>
      </c>
      <c r="AA60">
        <v>0.57390907236951194</v>
      </c>
      <c r="AB60">
        <v>1.0934072778664163</v>
      </c>
      <c r="AD60">
        <v>0.83749648115887743</v>
      </c>
      <c r="AE60">
        <v>0.15499700459940954</v>
      </c>
      <c r="AF60">
        <v>0.29150818602891254</v>
      </c>
    </row>
    <row r="61" spans="1:32" x14ac:dyDescent="0.2">
      <c r="A61">
        <v>29</v>
      </c>
      <c r="B61">
        <v>1.2499284088409921</v>
      </c>
      <c r="C61">
        <v>0.62831458626036274</v>
      </c>
      <c r="D61">
        <v>1.2193799355477841</v>
      </c>
      <c r="F61">
        <v>1.4442515291684423</v>
      </c>
      <c r="G61">
        <v>0.47416083785384661</v>
      </c>
      <c r="H61">
        <v>0.97864771600257949</v>
      </c>
      <c r="J61">
        <v>0.67335098811778149</v>
      </c>
      <c r="K61">
        <v>0.32548700654996815</v>
      </c>
      <c r="L61">
        <v>0.76301446385223981</v>
      </c>
      <c r="N61">
        <v>2.6394046924500052</v>
      </c>
      <c r="O61">
        <v>1.0525120921476554</v>
      </c>
      <c r="P61">
        <v>1.5710367688387381</v>
      </c>
      <c r="R61">
        <v>3.0603199263813279</v>
      </c>
      <c r="S61">
        <v>0.96944659497100827</v>
      </c>
      <c r="T61">
        <v>1.9342974412568166</v>
      </c>
      <c r="V61">
        <v>1.0419936170935784</v>
      </c>
      <c r="W61">
        <v>0.22830945843351058</v>
      </c>
      <c r="X61">
        <v>0.62563304531950514</v>
      </c>
      <c r="Z61">
        <v>0.47465139622278441</v>
      </c>
      <c r="AA61">
        <v>0.58076740316872333</v>
      </c>
      <c r="AB61">
        <v>1.0239090638446959</v>
      </c>
      <c r="AD61">
        <v>0.83461893502930484</v>
      </c>
      <c r="AE61">
        <v>0.16045277488141138</v>
      </c>
      <c r="AF61">
        <v>0.27072241022436899</v>
      </c>
    </row>
    <row r="62" spans="1:32" x14ac:dyDescent="0.2">
      <c r="A62">
        <v>29.5</v>
      </c>
      <c r="B62">
        <v>1.2627859929363445</v>
      </c>
      <c r="C62">
        <v>0.64081385634744614</v>
      </c>
      <c r="D62">
        <v>1.2132778423025812</v>
      </c>
      <c r="F62">
        <v>1.4438825602137411</v>
      </c>
      <c r="G62">
        <v>0.46673675273269111</v>
      </c>
      <c r="H62">
        <v>1.0179142329242841</v>
      </c>
      <c r="J62">
        <v>0.65732827622356083</v>
      </c>
      <c r="K62">
        <v>0.32394888065439437</v>
      </c>
      <c r="L62">
        <v>0.74129515610136687</v>
      </c>
      <c r="N62">
        <v>2.6461353974385782</v>
      </c>
      <c r="O62">
        <v>1.0714409776713796</v>
      </c>
      <c r="P62">
        <v>1.635109617025202</v>
      </c>
      <c r="R62">
        <v>2.9570233209584478</v>
      </c>
      <c r="S62">
        <v>0.98273865651785663</v>
      </c>
      <c r="T62">
        <v>1.9509585912956005</v>
      </c>
      <c r="V62">
        <v>1.0570295401804926</v>
      </c>
      <c r="W62">
        <v>0.2300100820541631</v>
      </c>
      <c r="X62">
        <v>0.64521852901146504</v>
      </c>
      <c r="Z62">
        <v>0.49095002482031136</v>
      </c>
      <c r="AA62">
        <v>0.58585140345762099</v>
      </c>
      <c r="AB62">
        <v>1.0566552208238358</v>
      </c>
      <c r="AD62">
        <v>0.85038262469768544</v>
      </c>
      <c r="AE62">
        <v>0.15244268087350302</v>
      </c>
      <c r="AF62">
        <v>0.28220596813972548</v>
      </c>
    </row>
    <row r="63" spans="1:32" x14ac:dyDescent="0.2">
      <c r="A63">
        <v>30</v>
      </c>
      <c r="B63">
        <v>1.2323805212149368</v>
      </c>
      <c r="C63">
        <v>0.64919826783261003</v>
      </c>
      <c r="D63">
        <v>1.1976836937087643</v>
      </c>
      <c r="F63">
        <v>1.4989139215078398</v>
      </c>
      <c r="G63">
        <v>0.48178905646819453</v>
      </c>
      <c r="H63">
        <v>1.0244347704953876</v>
      </c>
      <c r="J63">
        <v>0.65125685778642739</v>
      </c>
      <c r="K63">
        <v>0.32305701615469617</v>
      </c>
      <c r="L63">
        <v>0.74106138124951815</v>
      </c>
      <c r="N63">
        <v>2.6180754339732921</v>
      </c>
      <c r="O63">
        <v>1.0687130543120722</v>
      </c>
      <c r="P63">
        <v>1.6180226868800911</v>
      </c>
      <c r="R63">
        <v>3.1212912821915122</v>
      </c>
      <c r="S63">
        <v>0.95885395721019939</v>
      </c>
      <c r="T63">
        <v>1.959602584596867</v>
      </c>
      <c r="V63">
        <v>1.0191658252859923</v>
      </c>
      <c r="W63">
        <v>0.23353030648028913</v>
      </c>
      <c r="X63">
        <v>0.67974720020854851</v>
      </c>
      <c r="Z63">
        <v>0.46874704808133921</v>
      </c>
      <c r="AA63">
        <v>0.5982979011353875</v>
      </c>
      <c r="AB63">
        <v>1.0756990899693222</v>
      </c>
      <c r="AD63">
        <v>0.82943430646226435</v>
      </c>
      <c r="AE63">
        <v>0.15822525276379612</v>
      </c>
      <c r="AF63">
        <v>0.28227095461354734</v>
      </c>
    </row>
    <row r="64" spans="1:32" x14ac:dyDescent="0.2">
      <c r="A64">
        <v>30.5</v>
      </c>
      <c r="B64">
        <v>1.2540126100606674</v>
      </c>
      <c r="C64">
        <v>0.65203027600239105</v>
      </c>
      <c r="D64">
        <v>1.2384740326289956</v>
      </c>
      <c r="F64">
        <v>1.4571959237957315</v>
      </c>
      <c r="G64">
        <v>0.48342620113024698</v>
      </c>
      <c r="H64">
        <v>1.0130409585312954</v>
      </c>
      <c r="J64">
        <v>0.65716117659456275</v>
      </c>
      <c r="K64">
        <v>0.32542473908276803</v>
      </c>
      <c r="L64">
        <v>0.75465868284954662</v>
      </c>
      <c r="N64">
        <v>2.5927284364781009</v>
      </c>
      <c r="O64">
        <v>1.0825545452951981</v>
      </c>
      <c r="P64">
        <v>1.6057628024428605</v>
      </c>
      <c r="R64">
        <v>3.0314917558594048</v>
      </c>
      <c r="S64">
        <v>0.96519177258420008</v>
      </c>
      <c r="T64">
        <v>1.9850940608844068</v>
      </c>
      <c r="V64">
        <v>1.0496980901097586</v>
      </c>
      <c r="W64">
        <v>0.23658303545591541</v>
      </c>
      <c r="X64">
        <v>0.65583604562105069</v>
      </c>
      <c r="Z64">
        <v>0.4430616997932309</v>
      </c>
      <c r="AA64">
        <v>0.59498890654930048</v>
      </c>
      <c r="AB64">
        <v>1.065821876566952</v>
      </c>
      <c r="AD64">
        <v>0.83287910144664257</v>
      </c>
      <c r="AE64">
        <v>0.16283621712217389</v>
      </c>
      <c r="AF64">
        <v>0.27014495341062372</v>
      </c>
    </row>
    <row r="65" spans="1:32" x14ac:dyDescent="0.2">
      <c r="A65">
        <v>31</v>
      </c>
      <c r="B65">
        <v>1.2379861163874712</v>
      </c>
      <c r="C65">
        <v>0.65883540717527567</v>
      </c>
      <c r="D65">
        <v>1.2376228035990402</v>
      </c>
      <c r="F65">
        <v>1.4688009752457281</v>
      </c>
      <c r="G65">
        <v>0.48943697709177636</v>
      </c>
      <c r="H65">
        <v>0.98562737034802472</v>
      </c>
      <c r="J65">
        <v>0.65478957549828143</v>
      </c>
      <c r="K65">
        <v>0.32569827080828945</v>
      </c>
      <c r="L65">
        <v>0.75312796504594659</v>
      </c>
      <c r="N65">
        <v>2.5685528813897802</v>
      </c>
      <c r="O65">
        <v>1.0774178931692866</v>
      </c>
      <c r="P65">
        <v>1.6183387628731407</v>
      </c>
      <c r="R65">
        <v>3.0407536893759115</v>
      </c>
      <c r="S65">
        <v>0.96736995801892089</v>
      </c>
      <c r="T65">
        <v>2.0004951456200097</v>
      </c>
      <c r="V65">
        <v>1.0037442129693108</v>
      </c>
      <c r="W65">
        <v>0.23853955798427337</v>
      </c>
      <c r="X65">
        <v>0.66599909144664915</v>
      </c>
      <c r="Z65">
        <v>0.43375485066195424</v>
      </c>
      <c r="AA65">
        <v>0.60294083508574647</v>
      </c>
      <c r="AB65">
        <v>1.0840285055555769</v>
      </c>
      <c r="AD65">
        <v>0.80743163703626297</v>
      </c>
      <c r="AE65">
        <v>0.16290805838534142</v>
      </c>
      <c r="AF65">
        <v>0.28276556513356071</v>
      </c>
    </row>
    <row r="66" spans="1:32" x14ac:dyDescent="0.2">
      <c r="A66">
        <v>31.5</v>
      </c>
      <c r="B66">
        <v>1.2388767631609316</v>
      </c>
      <c r="C66">
        <v>0.67718240569117272</v>
      </c>
      <c r="D66">
        <v>1.2496017447821104</v>
      </c>
      <c r="F66">
        <v>1.4221225697933586</v>
      </c>
      <c r="G66">
        <v>0.49368581861148692</v>
      </c>
      <c r="H66">
        <v>1.0151936009006659</v>
      </c>
      <c r="J66">
        <v>0.61870965139391276</v>
      </c>
      <c r="K66">
        <v>0.32835563175564164</v>
      </c>
      <c r="L66">
        <v>0.7461096179825385</v>
      </c>
      <c r="N66">
        <v>2.5704661978433174</v>
      </c>
      <c r="O66">
        <v>1.0858292175479134</v>
      </c>
      <c r="P66">
        <v>1.6218208017574898</v>
      </c>
      <c r="R66">
        <v>3.0703823275289084</v>
      </c>
      <c r="S66">
        <v>0.96775162404264414</v>
      </c>
      <c r="T66">
        <v>1.992877816951065</v>
      </c>
      <c r="V66">
        <v>1.0206579205510267</v>
      </c>
      <c r="W66">
        <v>0.23599928826720243</v>
      </c>
      <c r="X66">
        <v>0.68800718260290117</v>
      </c>
      <c r="Z66">
        <v>0.430731761058879</v>
      </c>
      <c r="AA66">
        <v>0.61607157195324547</v>
      </c>
      <c r="AB66">
        <v>1.0762213566335792</v>
      </c>
      <c r="AD66">
        <v>0.82452789403721694</v>
      </c>
      <c r="AE66">
        <v>0.16609350650540342</v>
      </c>
      <c r="AF66">
        <v>0.31170896671630427</v>
      </c>
    </row>
    <row r="67" spans="1:32" x14ac:dyDescent="0.2">
      <c r="A67">
        <v>32</v>
      </c>
      <c r="B67">
        <v>1.24913649450513</v>
      </c>
      <c r="C67">
        <v>0.67505651799561139</v>
      </c>
      <c r="D67">
        <v>1.2783500317140764</v>
      </c>
      <c r="F67">
        <v>1.4472931409670602</v>
      </c>
      <c r="G67">
        <v>0.50230727594351676</v>
      </c>
      <c r="H67">
        <v>0.99905227485057913</v>
      </c>
      <c r="J67">
        <v>0.64146636377911448</v>
      </c>
      <c r="K67">
        <v>0.33160690919365376</v>
      </c>
      <c r="L67">
        <v>0.75035831867690739</v>
      </c>
      <c r="N67">
        <v>2.542959230148889</v>
      </c>
      <c r="O67">
        <v>1.0867593283173258</v>
      </c>
      <c r="P67">
        <v>1.6037368961944574</v>
      </c>
      <c r="R67">
        <v>3.0027414058841648</v>
      </c>
      <c r="S67">
        <v>0.97461710812038882</v>
      </c>
      <c r="T67">
        <v>2.0283924895066199</v>
      </c>
      <c r="V67">
        <v>0.97747081750650278</v>
      </c>
      <c r="W67">
        <v>0.23906457103716158</v>
      </c>
      <c r="X67">
        <v>0.69917250055226354</v>
      </c>
      <c r="Z67">
        <v>0.4177267206218056</v>
      </c>
      <c r="AA67">
        <v>0.60916150770081245</v>
      </c>
      <c r="AB67">
        <v>1.0890677653575263</v>
      </c>
      <c r="AD67">
        <v>0.83497039338352375</v>
      </c>
      <c r="AE67">
        <v>0.16798287006495879</v>
      </c>
      <c r="AF67">
        <v>0.29178466169583284</v>
      </c>
    </row>
    <row r="68" spans="1:32" x14ac:dyDescent="0.2">
      <c r="A68">
        <v>32.5</v>
      </c>
      <c r="B68">
        <v>1.1933859792547803</v>
      </c>
      <c r="C68">
        <v>0.68701449049531771</v>
      </c>
      <c r="D68">
        <v>1.2231163248729577</v>
      </c>
      <c r="F68">
        <v>1.4461050246565468</v>
      </c>
      <c r="G68">
        <v>0.4922701551592053</v>
      </c>
      <c r="H68">
        <v>1.0066766664994777</v>
      </c>
      <c r="J68">
        <v>0.6511133586436314</v>
      </c>
      <c r="K68">
        <v>0.32020214539556596</v>
      </c>
      <c r="L68">
        <v>0.73726370473802894</v>
      </c>
      <c r="N68">
        <v>2.5870987846796556</v>
      </c>
      <c r="O68">
        <v>1.0937861871390837</v>
      </c>
      <c r="P68">
        <v>1.6497269763009128</v>
      </c>
      <c r="R68">
        <v>3.0467254720096286</v>
      </c>
      <c r="S68">
        <v>0.97594385697889829</v>
      </c>
      <c r="T68">
        <v>2.0287780176499814</v>
      </c>
      <c r="V68">
        <v>0.98858793886499685</v>
      </c>
      <c r="W68">
        <v>0.24365393365078203</v>
      </c>
      <c r="X68">
        <v>0.67982893010291068</v>
      </c>
      <c r="Z68">
        <v>0.41866500360725767</v>
      </c>
      <c r="AA68">
        <v>0.61658230601768982</v>
      </c>
      <c r="AB68">
        <v>1.0667319024904844</v>
      </c>
      <c r="AD68">
        <v>0.787739944308811</v>
      </c>
      <c r="AE68">
        <v>0.17121215456302533</v>
      </c>
      <c r="AF68">
        <v>0.31337262727517023</v>
      </c>
    </row>
    <row r="69" spans="1:32" x14ac:dyDescent="0.2">
      <c r="A69">
        <v>33</v>
      </c>
      <c r="B69">
        <v>1.1862813023186016</v>
      </c>
      <c r="C69">
        <v>0.69079642614660175</v>
      </c>
      <c r="D69">
        <v>1.2585675750675824</v>
      </c>
      <c r="F69">
        <v>1.4291601024311664</v>
      </c>
      <c r="G69">
        <v>0.4978399668650299</v>
      </c>
      <c r="H69">
        <v>0.9754122784918422</v>
      </c>
      <c r="J69">
        <v>0.67216523739651146</v>
      </c>
      <c r="K69">
        <v>0.33217915195817072</v>
      </c>
      <c r="L69">
        <v>0.69407811310131395</v>
      </c>
      <c r="N69">
        <v>2.5966752365884807</v>
      </c>
      <c r="O69">
        <v>1.0894202905637096</v>
      </c>
      <c r="P69">
        <v>1.6778763789932711</v>
      </c>
      <c r="R69">
        <v>2.9473139686328493</v>
      </c>
      <c r="S69">
        <v>0.98559777352546307</v>
      </c>
      <c r="T69">
        <v>2.0270391339309524</v>
      </c>
      <c r="V69">
        <v>1.025043344324104</v>
      </c>
      <c r="W69">
        <v>0.24081229000238036</v>
      </c>
      <c r="X69">
        <v>0.69035892086815753</v>
      </c>
      <c r="Z69">
        <v>0.44199746159045478</v>
      </c>
      <c r="AA69">
        <v>0.62184652677997987</v>
      </c>
      <c r="AB69">
        <v>1.0706210447541222</v>
      </c>
      <c r="AD69">
        <v>0.78784745650258292</v>
      </c>
      <c r="AE69">
        <v>0.16928732536907831</v>
      </c>
      <c r="AF69">
        <v>0.29425261527929336</v>
      </c>
    </row>
    <row r="70" spans="1:32" x14ac:dyDescent="0.2">
      <c r="A70">
        <v>33.5</v>
      </c>
      <c r="B70">
        <v>1.2001909101214512</v>
      </c>
      <c r="C70">
        <v>0.70958156088094593</v>
      </c>
      <c r="D70">
        <v>1.2532480105699049</v>
      </c>
      <c r="F70">
        <v>1.4600346413768184</v>
      </c>
      <c r="G70">
        <v>0.50046486747527086</v>
      </c>
      <c r="H70">
        <v>1.0164129335954106</v>
      </c>
      <c r="J70">
        <v>0.67123579627956065</v>
      </c>
      <c r="K70">
        <v>0.32730770193696895</v>
      </c>
      <c r="L70">
        <v>0.71295930797556006</v>
      </c>
      <c r="N70">
        <v>2.5457035346685712</v>
      </c>
      <c r="O70">
        <v>1.1012579497988344</v>
      </c>
      <c r="P70">
        <v>1.6356667455278675</v>
      </c>
      <c r="R70">
        <v>3.0474049354666293</v>
      </c>
      <c r="S70">
        <v>0.98758424788075749</v>
      </c>
      <c r="T70">
        <v>2.0411379894919741</v>
      </c>
      <c r="V70">
        <v>1.0016881018143771</v>
      </c>
      <c r="W70">
        <v>0.24477541977831144</v>
      </c>
      <c r="X70">
        <v>0.70829453006661369</v>
      </c>
      <c r="Z70">
        <v>0.42989354422123227</v>
      </c>
      <c r="AA70">
        <v>0.62219017789049758</v>
      </c>
      <c r="AB70">
        <v>1.0695788176786309</v>
      </c>
      <c r="AD70">
        <v>0.81185637701151336</v>
      </c>
      <c r="AE70">
        <v>0.17104428516039086</v>
      </c>
      <c r="AF70">
        <v>0.30738263228589974</v>
      </c>
    </row>
    <row r="71" spans="1:32" x14ac:dyDescent="0.2">
      <c r="A71">
        <v>34</v>
      </c>
      <c r="B71">
        <v>1.1919413800125942</v>
      </c>
      <c r="C71">
        <v>0.71176536216038366</v>
      </c>
      <c r="D71">
        <v>1.2819558724617968</v>
      </c>
      <c r="F71">
        <v>1.4078355332401598</v>
      </c>
      <c r="G71">
        <v>0.50487375104202026</v>
      </c>
      <c r="H71">
        <v>0.97154865486078168</v>
      </c>
      <c r="J71">
        <v>0.63156504020238102</v>
      </c>
      <c r="K71">
        <v>0.33223636152687885</v>
      </c>
      <c r="L71">
        <v>0.72944725081692796</v>
      </c>
      <c r="N71">
        <v>2.4980430769678486</v>
      </c>
      <c r="O71">
        <v>1.1226021099803147</v>
      </c>
      <c r="P71">
        <v>1.6378966697485122</v>
      </c>
      <c r="R71">
        <v>2.9984743849369733</v>
      </c>
      <c r="S71">
        <v>0.99659627609173262</v>
      </c>
      <c r="T71">
        <v>2.0998860816305482</v>
      </c>
      <c r="V71">
        <v>0.98198413219165082</v>
      </c>
      <c r="W71">
        <v>0.25212910532765853</v>
      </c>
      <c r="X71">
        <v>0.72312776098574105</v>
      </c>
      <c r="Z71">
        <v>0.39002487229914373</v>
      </c>
      <c r="AA71">
        <v>0.63421316447326292</v>
      </c>
      <c r="AB71">
        <v>1.0949845218517786</v>
      </c>
      <c r="AD71">
        <v>0.77906163872359513</v>
      </c>
      <c r="AE71">
        <v>0.17483099363248522</v>
      </c>
      <c r="AF71">
        <v>0.30322011945655664</v>
      </c>
    </row>
    <row r="72" spans="1:32" x14ac:dyDescent="0.2">
      <c r="A72">
        <v>34.5</v>
      </c>
      <c r="B72">
        <v>1.1504433520744122</v>
      </c>
      <c r="C72">
        <v>0.70859643106394099</v>
      </c>
      <c r="D72">
        <v>1.2672993629656606</v>
      </c>
      <c r="F72">
        <v>1.4416523059581006</v>
      </c>
      <c r="G72">
        <v>0.5104966489339483</v>
      </c>
      <c r="H72">
        <v>0.97993365824143608</v>
      </c>
      <c r="J72">
        <v>0.59997675275791007</v>
      </c>
      <c r="K72">
        <v>0.33158556741490997</v>
      </c>
      <c r="L72">
        <v>0.73127510879031155</v>
      </c>
      <c r="N72">
        <v>2.5363970099053121</v>
      </c>
      <c r="O72">
        <v>1.1170496835199235</v>
      </c>
      <c r="P72">
        <v>1.6795269725330984</v>
      </c>
      <c r="R72">
        <v>2.9452984395462378</v>
      </c>
      <c r="S72">
        <v>0.9983465800907797</v>
      </c>
      <c r="T72">
        <v>2.0794566633088887</v>
      </c>
      <c r="V72">
        <v>0.96467319633446913</v>
      </c>
      <c r="W72">
        <v>0.25754496484919082</v>
      </c>
      <c r="X72">
        <v>0.73480401336842971</v>
      </c>
      <c r="Z72">
        <v>0.37803033895493937</v>
      </c>
      <c r="AA72">
        <v>0.63303752604204444</v>
      </c>
      <c r="AB72">
        <v>1.0915452927600138</v>
      </c>
      <c r="AD72">
        <v>0.76771917771706799</v>
      </c>
      <c r="AE72">
        <v>0.17429259891435359</v>
      </c>
      <c r="AF72">
        <v>0.30703216113170595</v>
      </c>
    </row>
    <row r="73" spans="1:32" x14ac:dyDescent="0.2">
      <c r="A73">
        <v>35</v>
      </c>
      <c r="B73">
        <v>1.1794098425422954</v>
      </c>
      <c r="C73">
        <v>0.71904504177956663</v>
      </c>
      <c r="D73">
        <v>1.2835721569387659</v>
      </c>
      <c r="F73">
        <v>1.3992186922084719</v>
      </c>
      <c r="G73">
        <v>0.5132975397399494</v>
      </c>
      <c r="H73">
        <v>1.0043327517627305</v>
      </c>
      <c r="J73">
        <v>0.61802622691488884</v>
      </c>
      <c r="K73">
        <v>0.32306329438136244</v>
      </c>
      <c r="L73">
        <v>0.76987395645597734</v>
      </c>
      <c r="N73">
        <v>2.4911652620237055</v>
      </c>
      <c r="O73">
        <v>1.1284714823797419</v>
      </c>
      <c r="P73">
        <v>1.6355615044032006</v>
      </c>
      <c r="R73">
        <v>2.9427623234208986</v>
      </c>
      <c r="S73">
        <v>1.0024915321681522</v>
      </c>
      <c r="T73">
        <v>2.1260082560959663</v>
      </c>
      <c r="V73">
        <v>0.95221270572474359</v>
      </c>
      <c r="W73">
        <v>0.26264990068379857</v>
      </c>
      <c r="X73">
        <v>0.70593613072264749</v>
      </c>
      <c r="Z73">
        <v>0.40478845267255092</v>
      </c>
      <c r="AA73">
        <v>0.64210976672722508</v>
      </c>
      <c r="AB73">
        <v>1.0871046584388266</v>
      </c>
      <c r="AD73">
        <v>0.77458596071067598</v>
      </c>
      <c r="AE73">
        <v>0.17954834884089288</v>
      </c>
      <c r="AF73">
        <v>0.3062481914523198</v>
      </c>
    </row>
    <row r="74" spans="1:32" x14ac:dyDescent="0.2">
      <c r="A74">
        <v>35.5</v>
      </c>
      <c r="B74">
        <v>1.1748876789741267</v>
      </c>
      <c r="C74">
        <v>0.72059373746819644</v>
      </c>
      <c r="D74">
        <v>1.3212728434989982</v>
      </c>
      <c r="F74">
        <v>1.409081128498715</v>
      </c>
      <c r="G74">
        <v>0.51471777655182493</v>
      </c>
      <c r="H74">
        <v>0.99961326220200675</v>
      </c>
      <c r="J74">
        <v>0.64294362897841595</v>
      </c>
      <c r="K74">
        <v>0.33337523138433828</v>
      </c>
      <c r="L74">
        <v>0.77170921423098671</v>
      </c>
      <c r="N74">
        <v>2.5225117187750183</v>
      </c>
      <c r="O74">
        <v>1.1179878434667663</v>
      </c>
      <c r="P74">
        <v>1.6398646455029922</v>
      </c>
      <c r="R74">
        <v>2.8682104274604407</v>
      </c>
      <c r="S74">
        <v>1.0001608475463826</v>
      </c>
      <c r="T74">
        <v>2.1402134424064831</v>
      </c>
      <c r="V74">
        <v>0.99362526475275281</v>
      </c>
      <c r="W74">
        <v>0.25960304400739415</v>
      </c>
      <c r="X74">
        <v>0.71179428984506876</v>
      </c>
      <c r="Z74">
        <v>0.37691615461980904</v>
      </c>
      <c r="AA74">
        <v>0.64522320796937349</v>
      </c>
      <c r="AB74">
        <v>1.0944577993843394</v>
      </c>
      <c r="AD74">
        <v>0.77943483601255503</v>
      </c>
      <c r="AE74">
        <v>0.17533347047632364</v>
      </c>
      <c r="AF74">
        <v>0.30838158706856478</v>
      </c>
    </row>
    <row r="75" spans="1:32" x14ac:dyDescent="0.2">
      <c r="A75">
        <v>36</v>
      </c>
      <c r="B75">
        <v>1.1736503674219034</v>
      </c>
      <c r="C75">
        <v>0.7309204789931778</v>
      </c>
      <c r="D75">
        <v>1.3271237321901534</v>
      </c>
      <c r="F75">
        <v>1.3767598121973761</v>
      </c>
      <c r="G75">
        <v>0.51903400667998689</v>
      </c>
      <c r="H75">
        <v>1.0296019576639124</v>
      </c>
      <c r="J75">
        <v>0.6058853703632221</v>
      </c>
      <c r="K75">
        <v>0.32927501873980464</v>
      </c>
      <c r="L75">
        <v>0.78271975957980844</v>
      </c>
      <c r="N75">
        <v>2.5279497670756412</v>
      </c>
      <c r="O75">
        <v>1.1194318841956907</v>
      </c>
      <c r="P75">
        <v>1.7154943558494016</v>
      </c>
      <c r="R75">
        <v>2.9875873108142015</v>
      </c>
      <c r="S75">
        <v>0.99792593171440647</v>
      </c>
      <c r="T75">
        <v>2.1102647937527368</v>
      </c>
      <c r="V75">
        <v>0.92117509393143437</v>
      </c>
      <c r="W75">
        <v>0.26534600025852045</v>
      </c>
      <c r="X75">
        <v>0.70479389304887508</v>
      </c>
      <c r="Z75">
        <v>0.36915617623241048</v>
      </c>
      <c r="AA75">
        <v>0.64628636144672169</v>
      </c>
      <c r="AB75">
        <v>1.1258615583644151</v>
      </c>
      <c r="AD75">
        <v>0.77801930778124384</v>
      </c>
      <c r="AE75">
        <v>0.18221979277472797</v>
      </c>
      <c r="AF75">
        <v>0.29169289727272368</v>
      </c>
    </row>
    <row r="76" spans="1:32" x14ac:dyDescent="0.2">
      <c r="A76">
        <v>36.5</v>
      </c>
      <c r="B76">
        <v>1.1669289041318438</v>
      </c>
      <c r="C76">
        <v>0.73051222130035209</v>
      </c>
      <c r="D76">
        <v>1.3317765829378614</v>
      </c>
      <c r="F76">
        <v>1.3998113094000786</v>
      </c>
      <c r="G76">
        <v>0.517998867877279</v>
      </c>
      <c r="H76">
        <v>1.035192411272519</v>
      </c>
      <c r="J76">
        <v>0.62245102183802115</v>
      </c>
      <c r="K76">
        <v>0.33245113562932138</v>
      </c>
      <c r="L76">
        <v>0.759836779725518</v>
      </c>
      <c r="N76">
        <v>2.456204767582244</v>
      </c>
      <c r="O76">
        <v>1.1100954043296152</v>
      </c>
      <c r="P76">
        <v>1.6684929717561578</v>
      </c>
      <c r="R76">
        <v>2.9738738404899054</v>
      </c>
      <c r="S76">
        <v>0.99659689903480353</v>
      </c>
      <c r="T76">
        <v>2.1222476917487323</v>
      </c>
      <c r="V76">
        <v>0.96175805328620279</v>
      </c>
      <c r="W76">
        <v>0.26441609879518196</v>
      </c>
      <c r="X76">
        <v>0.71228139544712366</v>
      </c>
      <c r="Z76">
        <v>0.348222328654889</v>
      </c>
      <c r="AA76">
        <v>0.64823306789214574</v>
      </c>
      <c r="AB76">
        <v>1.1080355369089887</v>
      </c>
      <c r="AD76">
        <v>0.74459552054322709</v>
      </c>
      <c r="AE76">
        <v>0.18279279927192812</v>
      </c>
      <c r="AF76">
        <v>0.3363435123445852</v>
      </c>
    </row>
    <row r="77" spans="1:32" x14ac:dyDescent="0.2">
      <c r="A77">
        <v>37</v>
      </c>
      <c r="B77">
        <v>1.1521276531197895</v>
      </c>
      <c r="C77">
        <v>0.73909808813536571</v>
      </c>
      <c r="D77">
        <v>1.3153792024578419</v>
      </c>
      <c r="F77">
        <v>1.3429815006217962</v>
      </c>
      <c r="G77">
        <v>0.51790680710210679</v>
      </c>
      <c r="H77">
        <v>1.0285222969049932</v>
      </c>
      <c r="J77">
        <v>0.6422798516711129</v>
      </c>
      <c r="K77">
        <v>0.33543656991249432</v>
      </c>
      <c r="L77">
        <v>0.80532379864020986</v>
      </c>
      <c r="N77">
        <v>2.4276243621551692</v>
      </c>
      <c r="O77">
        <v>1.131133953437923</v>
      </c>
      <c r="P77">
        <v>1.6797349893924394</v>
      </c>
      <c r="R77">
        <v>2.8303002600507141</v>
      </c>
      <c r="S77">
        <v>1.0058026379027021</v>
      </c>
      <c r="T77">
        <v>2.1236554691870526</v>
      </c>
      <c r="V77">
        <v>0.93176942976528576</v>
      </c>
      <c r="W77">
        <v>0.26869337461607729</v>
      </c>
      <c r="X77">
        <v>0.73886982348431218</v>
      </c>
      <c r="Z77">
        <v>0.36509513067556837</v>
      </c>
      <c r="AA77">
        <v>0.64818404078897296</v>
      </c>
      <c r="AB77">
        <v>1.1068964580505332</v>
      </c>
      <c r="AD77">
        <v>0.75046750040626253</v>
      </c>
      <c r="AE77">
        <v>0.17976089573932491</v>
      </c>
      <c r="AF77">
        <v>0.3347327575309455</v>
      </c>
    </row>
    <row r="78" spans="1:32" x14ac:dyDescent="0.2">
      <c r="A78">
        <v>37.5</v>
      </c>
      <c r="B78">
        <v>1.1153548120324919</v>
      </c>
      <c r="C78">
        <v>0.73832747994158088</v>
      </c>
      <c r="D78">
        <v>1.347266287256299</v>
      </c>
      <c r="F78">
        <v>1.3446495143626089</v>
      </c>
      <c r="G78">
        <v>0.52048862156522224</v>
      </c>
      <c r="H78">
        <v>1.0256958246092425</v>
      </c>
      <c r="J78">
        <v>0.6373775672166444</v>
      </c>
      <c r="K78">
        <v>0.3447989497492886</v>
      </c>
      <c r="L78">
        <v>0.76230131133185108</v>
      </c>
      <c r="N78">
        <v>2.4953319897850874</v>
      </c>
      <c r="O78">
        <v>1.1336027900956032</v>
      </c>
      <c r="P78">
        <v>1.729740060006608</v>
      </c>
      <c r="R78">
        <v>2.7622126353675465</v>
      </c>
      <c r="S78">
        <v>1.0095677030513217</v>
      </c>
      <c r="T78">
        <v>2.1023438127420468</v>
      </c>
      <c r="V78">
        <v>0.91479818703309657</v>
      </c>
      <c r="W78">
        <v>0.26956856567978354</v>
      </c>
      <c r="X78">
        <v>0.73967067849106172</v>
      </c>
      <c r="Z78">
        <v>0.34073468519573791</v>
      </c>
      <c r="AA78">
        <v>0.64918578535686267</v>
      </c>
      <c r="AB78">
        <v>1.1409147793373267</v>
      </c>
      <c r="AD78">
        <v>0.75008669238850167</v>
      </c>
      <c r="AE78">
        <v>0.18211742027021882</v>
      </c>
      <c r="AF78">
        <v>0.35198640583272345</v>
      </c>
    </row>
    <row r="79" spans="1:32" x14ac:dyDescent="0.2">
      <c r="A79">
        <v>38</v>
      </c>
      <c r="B79">
        <v>1.1339246100599933</v>
      </c>
      <c r="C79">
        <v>0.74931591601213188</v>
      </c>
      <c r="D79">
        <v>1.3193445665926489</v>
      </c>
      <c r="F79">
        <v>1.3235963687893813</v>
      </c>
      <c r="G79">
        <v>0.51585650991138488</v>
      </c>
      <c r="H79">
        <v>0.99682580047726355</v>
      </c>
      <c r="J79">
        <v>0.63293667251380559</v>
      </c>
      <c r="K79">
        <v>0.34417502420727736</v>
      </c>
      <c r="L79">
        <v>0.75211227496321376</v>
      </c>
      <c r="N79">
        <v>2.4893275677793052</v>
      </c>
      <c r="O79">
        <v>1.1454907109087447</v>
      </c>
      <c r="P79">
        <v>1.6929547110481467</v>
      </c>
      <c r="R79">
        <v>2.7877299429172306</v>
      </c>
      <c r="S79">
        <v>1.0091112374856599</v>
      </c>
      <c r="T79">
        <v>2.1255546664166176</v>
      </c>
      <c r="V79">
        <v>0.95837163895377919</v>
      </c>
      <c r="W79">
        <v>0.26716088099395646</v>
      </c>
      <c r="X79">
        <v>0.75869423991045104</v>
      </c>
      <c r="Z79">
        <v>0.37414254590836843</v>
      </c>
      <c r="AA79">
        <v>0.65403010455845922</v>
      </c>
      <c r="AB79">
        <v>1.0933314932801772</v>
      </c>
      <c r="AD79">
        <v>0.74243775965977565</v>
      </c>
      <c r="AE79">
        <v>0.18501826133641439</v>
      </c>
      <c r="AF79">
        <v>0.29145556379359644</v>
      </c>
    </row>
    <row r="80" spans="1:32" x14ac:dyDescent="0.2">
      <c r="A80">
        <v>38.5</v>
      </c>
      <c r="B80">
        <v>1.1670360595911999</v>
      </c>
      <c r="C80">
        <v>0.7474858260108308</v>
      </c>
      <c r="D80">
        <v>1.3703202259292515</v>
      </c>
      <c r="F80">
        <v>1.3289969951922496</v>
      </c>
      <c r="G80">
        <v>0.51592239123161299</v>
      </c>
      <c r="H80">
        <v>0.99245710289325728</v>
      </c>
      <c r="J80">
        <v>0.60633621929688419</v>
      </c>
      <c r="K80">
        <v>0.34933085934637287</v>
      </c>
      <c r="L80">
        <v>0.73751546322773021</v>
      </c>
      <c r="N80">
        <v>2.4354986550979199</v>
      </c>
      <c r="O80">
        <v>1.1410124012747409</v>
      </c>
      <c r="P80">
        <v>1.7115321768467899</v>
      </c>
      <c r="R80">
        <v>2.7845676513098914</v>
      </c>
      <c r="S80">
        <v>1.0159521210004998</v>
      </c>
      <c r="T80">
        <v>2.1363266592250989</v>
      </c>
      <c r="V80">
        <v>0.92107808005287817</v>
      </c>
      <c r="W80">
        <v>0.26713540577662576</v>
      </c>
      <c r="X80">
        <v>0.76131723316831024</v>
      </c>
      <c r="Z80">
        <v>0.32518332085061907</v>
      </c>
      <c r="AA80">
        <v>0.66391045010437355</v>
      </c>
      <c r="AB80">
        <v>1.0469088077164195</v>
      </c>
      <c r="AD80">
        <v>0.74464011224088344</v>
      </c>
      <c r="AE80">
        <v>0.18919147198087463</v>
      </c>
      <c r="AF80">
        <v>0.31338109465716285</v>
      </c>
    </row>
    <row r="81" spans="1:32" x14ac:dyDescent="0.2">
      <c r="A81">
        <v>39</v>
      </c>
      <c r="B81">
        <v>1.1293821954168923</v>
      </c>
      <c r="C81">
        <v>0.75549056544502846</v>
      </c>
      <c r="D81">
        <v>1.3374737846734284</v>
      </c>
      <c r="F81">
        <v>1.3499692050875998</v>
      </c>
      <c r="G81">
        <v>0.52664735110769323</v>
      </c>
      <c r="H81">
        <v>1.002986656714643</v>
      </c>
      <c r="J81">
        <v>0.63373730504744341</v>
      </c>
      <c r="K81">
        <v>0.34184767865376181</v>
      </c>
      <c r="L81">
        <v>0.77413718888294292</v>
      </c>
      <c r="N81">
        <v>2.4239881846316851</v>
      </c>
      <c r="O81">
        <v>1.1488555439937296</v>
      </c>
      <c r="P81">
        <v>1.7137330780804876</v>
      </c>
      <c r="R81">
        <v>2.7408117020927225</v>
      </c>
      <c r="S81">
        <v>1.0104045627389031</v>
      </c>
      <c r="T81">
        <v>2.1234121615606742</v>
      </c>
      <c r="V81">
        <v>0.94854464729563903</v>
      </c>
      <c r="W81">
        <v>0.27306902049410076</v>
      </c>
      <c r="X81">
        <v>0.78978853947549588</v>
      </c>
      <c r="Z81">
        <v>0.35846538227984848</v>
      </c>
      <c r="AA81">
        <v>0.66696731721660774</v>
      </c>
      <c r="AB81">
        <v>1.1089237719200913</v>
      </c>
      <c r="AD81">
        <v>0.74471692700769099</v>
      </c>
      <c r="AE81">
        <v>0.18993917569996072</v>
      </c>
      <c r="AF81">
        <v>0.36125296186289618</v>
      </c>
    </row>
    <row r="82" spans="1:32" x14ac:dyDescent="0.2">
      <c r="A82">
        <v>39.5</v>
      </c>
      <c r="B82">
        <v>1.1483616232899296</v>
      </c>
      <c r="C82">
        <v>0.75484896723171857</v>
      </c>
      <c r="D82">
        <v>1.3111252783799925</v>
      </c>
      <c r="F82">
        <v>1.3321530045205041</v>
      </c>
      <c r="G82">
        <v>0.51744708011925877</v>
      </c>
      <c r="H82">
        <v>1.0056246123597949</v>
      </c>
      <c r="J82">
        <v>0.63647841981640629</v>
      </c>
      <c r="K82">
        <v>0.3410365997167189</v>
      </c>
      <c r="L82">
        <v>0.79774696244177434</v>
      </c>
      <c r="N82">
        <v>2.4951641523089019</v>
      </c>
      <c r="O82">
        <v>1.161196356403051</v>
      </c>
      <c r="P82">
        <v>1.7093896903010808</v>
      </c>
      <c r="R82">
        <v>2.8121751236681898</v>
      </c>
      <c r="S82">
        <v>1.0064389265497051</v>
      </c>
      <c r="T82">
        <v>2.1808406917937759</v>
      </c>
      <c r="V82">
        <v>0.96308973207355453</v>
      </c>
      <c r="W82">
        <v>0.28068724169256054</v>
      </c>
      <c r="X82">
        <v>0.78147099521220331</v>
      </c>
      <c r="Z82">
        <v>0.3434871893203203</v>
      </c>
      <c r="AA82">
        <v>0.66646458847145651</v>
      </c>
      <c r="AB82">
        <v>1.1126484024183902</v>
      </c>
      <c r="AD82">
        <v>0.75410482750235663</v>
      </c>
      <c r="AE82">
        <v>0.19196672312111612</v>
      </c>
      <c r="AF82">
        <v>0.34213718640180218</v>
      </c>
    </row>
    <row r="83" spans="1:32" x14ac:dyDescent="0.2">
      <c r="A83">
        <v>40</v>
      </c>
      <c r="B83">
        <v>1.1381682302289409</v>
      </c>
      <c r="C83">
        <v>0.75385204875250433</v>
      </c>
      <c r="D83">
        <v>1.341839368673049</v>
      </c>
      <c r="F83">
        <v>1.384327816872079</v>
      </c>
      <c r="G83">
        <v>0.53154693973315281</v>
      </c>
      <c r="H83">
        <v>0.99624692735557996</v>
      </c>
      <c r="J83">
        <v>0.61860077022923987</v>
      </c>
      <c r="K83">
        <v>0.33903632407516249</v>
      </c>
      <c r="L83">
        <v>0.809750707590289</v>
      </c>
      <c r="N83">
        <v>2.4777716444083939</v>
      </c>
      <c r="O83">
        <v>1.1563316730968585</v>
      </c>
      <c r="P83">
        <v>1.7666045348321615</v>
      </c>
      <c r="R83">
        <v>2.7210505495946546</v>
      </c>
      <c r="S83">
        <v>1.019084867261526</v>
      </c>
      <c r="T83">
        <v>2.212827167263955</v>
      </c>
      <c r="V83">
        <v>0.92457896138066742</v>
      </c>
      <c r="W83">
        <v>0.2845191147178498</v>
      </c>
      <c r="X83">
        <v>0.78217775025551495</v>
      </c>
      <c r="Z83">
        <v>0.34808578840107068</v>
      </c>
      <c r="AA83">
        <v>0.67046117395301297</v>
      </c>
      <c r="AB83">
        <v>1.1065426685900137</v>
      </c>
      <c r="AD83">
        <v>0.72787446858200899</v>
      </c>
      <c r="AE83">
        <v>0.19187572939633538</v>
      </c>
      <c r="AF83">
        <v>0.34658248443384398</v>
      </c>
    </row>
    <row r="84" spans="1:32" x14ac:dyDescent="0.2">
      <c r="A84">
        <v>40.5</v>
      </c>
      <c r="B84">
        <v>1.11964046603932</v>
      </c>
      <c r="C84">
        <v>0.75474258111705583</v>
      </c>
      <c r="D84">
        <v>1.3291812943964629</v>
      </c>
      <c r="F84">
        <v>1.3528465437530894</v>
      </c>
      <c r="G84">
        <v>0.53029156506927766</v>
      </c>
      <c r="H84">
        <v>0.98809119698424741</v>
      </c>
      <c r="J84">
        <v>0.60754177313753421</v>
      </c>
      <c r="K84">
        <v>0.34123935519728882</v>
      </c>
      <c r="L84">
        <v>0.79005621229309642</v>
      </c>
      <c r="N84">
        <v>2.4400142734925128</v>
      </c>
      <c r="O84">
        <v>1.1586349656353943</v>
      </c>
      <c r="P84">
        <v>1.7323655389866206</v>
      </c>
      <c r="R84">
        <v>2.8732918182090268</v>
      </c>
      <c r="S84">
        <v>1.0321126851580562</v>
      </c>
      <c r="T84">
        <v>2.167313166637415</v>
      </c>
      <c r="V84">
        <v>0.9471216997160149</v>
      </c>
      <c r="W84">
        <v>0.28000150973937715</v>
      </c>
      <c r="X84">
        <v>0.7819125802631024</v>
      </c>
      <c r="Z84">
        <v>0.33751571819886172</v>
      </c>
      <c r="AA84">
        <v>0.66719165035927852</v>
      </c>
      <c r="AB84">
        <v>1.1185591648004944</v>
      </c>
      <c r="AD84">
        <v>0.7486149991856822</v>
      </c>
      <c r="AE84">
        <v>0.1967039025920711</v>
      </c>
      <c r="AF84">
        <v>0.36624306811880591</v>
      </c>
    </row>
    <row r="85" spans="1:32" x14ac:dyDescent="0.2">
      <c r="A85">
        <v>41</v>
      </c>
      <c r="B85">
        <v>1.082068018706319</v>
      </c>
      <c r="C85">
        <v>0.75916433867300248</v>
      </c>
      <c r="D85">
        <v>1.3089962901244605</v>
      </c>
      <c r="F85">
        <v>1.2957845374600294</v>
      </c>
      <c r="G85">
        <v>0.53129428035417725</v>
      </c>
      <c r="H85">
        <v>0.96979801199220483</v>
      </c>
      <c r="J85">
        <v>0.57938448223427708</v>
      </c>
      <c r="K85">
        <v>0.35191515912763693</v>
      </c>
      <c r="L85">
        <v>0.78873781392732201</v>
      </c>
      <c r="N85">
        <v>2.4691380677093147</v>
      </c>
      <c r="O85">
        <v>1.1683034377789832</v>
      </c>
      <c r="P85">
        <v>1.7122772759126803</v>
      </c>
      <c r="R85">
        <v>2.814721653843864</v>
      </c>
      <c r="S85">
        <v>1.0216294453552179</v>
      </c>
      <c r="T85">
        <v>2.2172582810903432</v>
      </c>
      <c r="V85">
        <v>0.95978025267980283</v>
      </c>
      <c r="W85">
        <v>0.27986951898957552</v>
      </c>
      <c r="X85">
        <v>0.77824441498107455</v>
      </c>
      <c r="Z85">
        <v>0.34191866504909663</v>
      </c>
      <c r="AA85">
        <v>0.67435843483681945</v>
      </c>
      <c r="AB85">
        <v>1.0692604173078357</v>
      </c>
      <c r="AD85">
        <v>0.69005955309139588</v>
      </c>
      <c r="AE85">
        <v>0.19308845394415067</v>
      </c>
      <c r="AF85">
        <v>0.36535386574257578</v>
      </c>
    </row>
    <row r="86" spans="1:32" x14ac:dyDescent="0.2">
      <c r="A86">
        <v>41.5</v>
      </c>
      <c r="B86">
        <v>1.075398964920429</v>
      </c>
      <c r="C86">
        <v>0.75517970997282913</v>
      </c>
      <c r="D86">
        <v>1.2938501055132008</v>
      </c>
      <c r="F86">
        <v>1.3406432151840713</v>
      </c>
      <c r="G86">
        <v>0.53933763799551426</v>
      </c>
      <c r="H86">
        <v>0.95344424984103282</v>
      </c>
      <c r="J86">
        <v>0.58350433166599081</v>
      </c>
      <c r="K86">
        <v>0.33987152771876733</v>
      </c>
      <c r="L86">
        <v>0.81000215625194483</v>
      </c>
      <c r="N86">
        <v>2.3855437906279153</v>
      </c>
      <c r="O86">
        <v>1.169533815788016</v>
      </c>
      <c r="P86">
        <v>1.7321194041773063</v>
      </c>
      <c r="R86">
        <v>2.8289304828437967</v>
      </c>
      <c r="S86">
        <v>1.0304363123094227</v>
      </c>
      <c r="T86">
        <v>2.2365391854967189</v>
      </c>
      <c r="V86">
        <v>0.95274944949581009</v>
      </c>
      <c r="W86">
        <v>0.27689653673700659</v>
      </c>
      <c r="X86">
        <v>0.80534270713561795</v>
      </c>
      <c r="Z86">
        <v>0.33296315708016955</v>
      </c>
      <c r="AA86">
        <v>0.68229415788087078</v>
      </c>
      <c r="AB86">
        <v>1.1204814887071688</v>
      </c>
      <c r="AD86">
        <v>0.70701346093921824</v>
      </c>
      <c r="AE86">
        <v>0.20153178291000037</v>
      </c>
      <c r="AF86">
        <v>0.35810083387611213</v>
      </c>
    </row>
    <row r="87" spans="1:32" x14ac:dyDescent="0.2">
      <c r="A87">
        <v>42</v>
      </c>
      <c r="B87">
        <v>1.0639765183676988</v>
      </c>
      <c r="C87">
        <v>0.75054590026023826</v>
      </c>
      <c r="D87">
        <v>1.2838220215855509</v>
      </c>
      <c r="F87">
        <v>1.3169518102587792</v>
      </c>
      <c r="G87">
        <v>0.53170677314991033</v>
      </c>
      <c r="H87">
        <v>0.97196111408491559</v>
      </c>
      <c r="J87">
        <v>0.58530260395093836</v>
      </c>
      <c r="K87">
        <v>0.3475714191117299</v>
      </c>
      <c r="L87">
        <v>0.77994456013207858</v>
      </c>
      <c r="N87">
        <v>2.3515688634826937</v>
      </c>
      <c r="O87">
        <v>1.1639760637510184</v>
      </c>
      <c r="P87">
        <v>1.7310110520202062</v>
      </c>
      <c r="R87">
        <v>3.0077997467752065</v>
      </c>
      <c r="S87">
        <v>1.0395317735619758</v>
      </c>
      <c r="T87">
        <v>2.1972488302827005</v>
      </c>
      <c r="V87">
        <v>0.96129409187390702</v>
      </c>
      <c r="W87">
        <v>0.27187052479705093</v>
      </c>
      <c r="X87">
        <v>0.83091490063749163</v>
      </c>
      <c r="Z87">
        <v>0.33912683799705567</v>
      </c>
      <c r="AA87">
        <v>0.67802027987208491</v>
      </c>
      <c r="AB87">
        <v>1.1285509161919003</v>
      </c>
      <c r="AD87">
        <v>0.69947231698176537</v>
      </c>
      <c r="AE87">
        <v>0.20345894874051854</v>
      </c>
      <c r="AF87">
        <v>0.36257176900624899</v>
      </c>
    </row>
    <row r="88" spans="1:32" x14ac:dyDescent="0.2">
      <c r="A88">
        <v>42.5</v>
      </c>
      <c r="B88">
        <v>1.0853166480454317</v>
      </c>
      <c r="C88">
        <v>0.76375772474007686</v>
      </c>
      <c r="D88">
        <v>1.3319900221213989</v>
      </c>
      <c r="F88">
        <v>1.3218048767797588</v>
      </c>
      <c r="G88">
        <v>0.53358734256604023</v>
      </c>
      <c r="H88">
        <v>1.0012675181928095</v>
      </c>
      <c r="J88">
        <v>0.60418390080795148</v>
      </c>
      <c r="K88">
        <v>0.34861162437277543</v>
      </c>
      <c r="L88">
        <v>0.79484017865548495</v>
      </c>
      <c r="N88">
        <v>2.4912784235608525</v>
      </c>
      <c r="O88">
        <v>1.204981553554815</v>
      </c>
      <c r="P88">
        <v>1.7089444011771882</v>
      </c>
      <c r="R88">
        <v>2.9285630452700295</v>
      </c>
      <c r="S88">
        <v>1.0378730045549946</v>
      </c>
      <c r="T88">
        <v>2.2408175847746481</v>
      </c>
      <c r="V88">
        <v>0.91327655075536252</v>
      </c>
      <c r="W88">
        <v>0.27538711767446228</v>
      </c>
      <c r="X88">
        <v>0.81956696577056976</v>
      </c>
      <c r="Z88">
        <v>0.32597477492346388</v>
      </c>
      <c r="AA88">
        <v>0.68444192946591986</v>
      </c>
      <c r="AB88">
        <v>1.1314165498991273</v>
      </c>
      <c r="AD88">
        <v>0.68735641717421792</v>
      </c>
      <c r="AE88">
        <v>0.20075459406715329</v>
      </c>
      <c r="AF88">
        <v>0.35137675221362386</v>
      </c>
    </row>
    <row r="89" spans="1:32" x14ac:dyDescent="0.2">
      <c r="A89">
        <v>43</v>
      </c>
      <c r="B89">
        <v>1.0577908862320802</v>
      </c>
      <c r="C89">
        <v>0.76469058676699042</v>
      </c>
      <c r="D89">
        <v>1.3062928543781256</v>
      </c>
      <c r="F89">
        <v>1.2904510198755541</v>
      </c>
      <c r="G89">
        <v>0.54883197632730285</v>
      </c>
      <c r="H89">
        <v>1.0324233074452014</v>
      </c>
      <c r="J89">
        <v>0.58261991697990811</v>
      </c>
      <c r="K89">
        <v>0.3378423487856253</v>
      </c>
      <c r="L89">
        <v>0.79476452452571811</v>
      </c>
      <c r="N89">
        <v>2.3293953266631138</v>
      </c>
      <c r="O89">
        <v>1.1883804216561855</v>
      </c>
      <c r="P89">
        <v>1.7704640376870189</v>
      </c>
      <c r="R89">
        <v>2.8857674560461346</v>
      </c>
      <c r="S89">
        <v>1.0617540115379256</v>
      </c>
      <c r="T89">
        <v>2.2553600562794145</v>
      </c>
      <c r="V89">
        <v>0.95028283989040097</v>
      </c>
      <c r="W89">
        <v>0.27588211404934915</v>
      </c>
      <c r="X89">
        <v>0.8234743286587155</v>
      </c>
      <c r="Z89">
        <v>0.32275169816449656</v>
      </c>
      <c r="AA89">
        <v>0.67842537335686148</v>
      </c>
      <c r="AB89">
        <v>1.1137332064655023</v>
      </c>
      <c r="AD89">
        <v>0.69903582925916197</v>
      </c>
      <c r="AE89">
        <v>0.20179036360526148</v>
      </c>
      <c r="AF89">
        <v>0.35959630259105246</v>
      </c>
    </row>
    <row r="90" spans="1:32" x14ac:dyDescent="0.2">
      <c r="A90">
        <v>43.5</v>
      </c>
      <c r="B90">
        <v>1.1088388145494714</v>
      </c>
      <c r="C90">
        <v>0.7735348958642545</v>
      </c>
      <c r="D90">
        <v>1.3239706851764148</v>
      </c>
      <c r="F90">
        <v>1.3023553851867107</v>
      </c>
      <c r="G90">
        <v>0.54344662312392611</v>
      </c>
      <c r="H90">
        <v>1.0524497418671541</v>
      </c>
      <c r="J90">
        <v>0.61086268672366784</v>
      </c>
      <c r="K90">
        <v>0.34311971213397402</v>
      </c>
      <c r="L90">
        <v>0.79698693130633225</v>
      </c>
      <c r="N90">
        <v>2.4029929988733354</v>
      </c>
      <c r="O90">
        <v>1.2023925725102296</v>
      </c>
      <c r="P90">
        <v>1.7549250817085076</v>
      </c>
      <c r="R90">
        <v>2.9025412495027081</v>
      </c>
      <c r="S90">
        <v>1.0448607633873994</v>
      </c>
      <c r="T90">
        <v>2.2581277408277929</v>
      </c>
      <c r="V90">
        <v>0.95425766224160513</v>
      </c>
      <c r="W90">
        <v>0.2796504037100464</v>
      </c>
      <c r="X90">
        <v>0.78657537540157674</v>
      </c>
      <c r="Z90">
        <v>0.32946141332153428</v>
      </c>
      <c r="AA90">
        <v>0.68224990065169511</v>
      </c>
      <c r="AB90">
        <v>1.1433488063766561</v>
      </c>
      <c r="AD90">
        <v>0.68068556377629053</v>
      </c>
      <c r="AE90">
        <v>0.2020751023351938</v>
      </c>
      <c r="AF90">
        <v>0.35091018568315885</v>
      </c>
    </row>
    <row r="91" spans="1:32" x14ac:dyDescent="0.2">
      <c r="A91">
        <v>44</v>
      </c>
      <c r="B91">
        <v>1.1168989411255008</v>
      </c>
      <c r="C91">
        <v>0.76890806931785394</v>
      </c>
      <c r="D91">
        <v>1.3290447059448713</v>
      </c>
      <c r="F91">
        <v>1.266309432034612</v>
      </c>
      <c r="G91">
        <v>0.53621897370569827</v>
      </c>
      <c r="H91">
        <v>1.0198233069921008</v>
      </c>
      <c r="J91">
        <v>0.5954905440736834</v>
      </c>
      <c r="K91">
        <v>0.3414873707421196</v>
      </c>
      <c r="L91">
        <v>0.77708704934631068</v>
      </c>
      <c r="N91">
        <v>2.4445287091072725</v>
      </c>
      <c r="O91">
        <v>1.1941945687611644</v>
      </c>
      <c r="P91">
        <v>1.7462435918100905</v>
      </c>
      <c r="R91">
        <v>2.8156493453316647</v>
      </c>
      <c r="S91">
        <v>1.0759187130791166</v>
      </c>
      <c r="T91">
        <v>2.3184458978789864</v>
      </c>
      <c r="V91">
        <v>0.91125460861730068</v>
      </c>
      <c r="W91">
        <v>0.27759261976494182</v>
      </c>
      <c r="X91">
        <v>0.80505351781658607</v>
      </c>
      <c r="Z91">
        <v>0.34035184711541733</v>
      </c>
      <c r="AA91">
        <v>0.68548600677359339</v>
      </c>
      <c r="AB91">
        <v>1.1469584654001841</v>
      </c>
      <c r="AD91">
        <v>0.69659539571388374</v>
      </c>
      <c r="AE91">
        <v>0.20331356480294085</v>
      </c>
      <c r="AF91">
        <v>0.34850463494782918</v>
      </c>
    </row>
    <row r="92" spans="1:32" x14ac:dyDescent="0.2">
      <c r="A92">
        <v>44.5</v>
      </c>
      <c r="B92">
        <v>1.0879759889464822</v>
      </c>
      <c r="C92">
        <v>0.76915750946953632</v>
      </c>
      <c r="D92">
        <v>1.3219297379901673</v>
      </c>
      <c r="F92">
        <v>1.2510830468983742</v>
      </c>
      <c r="G92">
        <v>0.54690819154359294</v>
      </c>
      <c r="H92">
        <v>1.051831277870191</v>
      </c>
      <c r="J92">
        <v>0.5912034213803431</v>
      </c>
      <c r="K92">
        <v>0.34414720583708136</v>
      </c>
      <c r="L92">
        <v>0.78921208887916761</v>
      </c>
      <c r="N92">
        <v>2.359198787982133</v>
      </c>
      <c r="O92">
        <v>1.1918345756380664</v>
      </c>
      <c r="P92">
        <v>1.7613055022580371</v>
      </c>
      <c r="R92">
        <v>2.7365324073274166</v>
      </c>
      <c r="S92">
        <v>1.0563875047393898</v>
      </c>
      <c r="T92">
        <v>2.2980636658891482</v>
      </c>
      <c r="V92">
        <v>0.91408029251623579</v>
      </c>
      <c r="W92">
        <v>0.28506615673245572</v>
      </c>
      <c r="X92">
        <v>0.806152603288388</v>
      </c>
      <c r="Z92">
        <v>0.30215152214826002</v>
      </c>
      <c r="AA92">
        <v>0.68689936513589767</v>
      </c>
      <c r="AB92">
        <v>1.0787879422121618</v>
      </c>
      <c r="AD92">
        <v>0.68604039430579011</v>
      </c>
      <c r="AE92">
        <v>0.20846248607505491</v>
      </c>
      <c r="AF92">
        <v>0.35664056226238927</v>
      </c>
    </row>
    <row r="93" spans="1:32" x14ac:dyDescent="0.2">
      <c r="A93">
        <v>45</v>
      </c>
      <c r="B93">
        <v>1.0775905816095304</v>
      </c>
      <c r="C93">
        <v>0.77381881559843047</v>
      </c>
      <c r="D93">
        <v>1.3093675624880021</v>
      </c>
      <c r="F93">
        <v>1.2548188224921804</v>
      </c>
      <c r="G93">
        <v>0.54728214751095949</v>
      </c>
      <c r="H93">
        <v>1.0556691102166824</v>
      </c>
      <c r="J93">
        <v>0.62438166766740166</v>
      </c>
      <c r="K93">
        <v>0.33764913626640614</v>
      </c>
      <c r="L93">
        <v>0.82419766407489803</v>
      </c>
      <c r="N93">
        <v>2.3448876012232418</v>
      </c>
      <c r="O93">
        <v>1.1918368439691609</v>
      </c>
      <c r="P93">
        <v>1.7729518540811871</v>
      </c>
      <c r="R93">
        <v>2.6396668929722007</v>
      </c>
      <c r="S93">
        <v>1.0733535556504754</v>
      </c>
      <c r="T93">
        <v>2.3043199820091282</v>
      </c>
      <c r="V93">
        <v>0.94361105911320631</v>
      </c>
      <c r="W93">
        <v>0.28522015937142287</v>
      </c>
      <c r="X93">
        <v>0.80952830999946646</v>
      </c>
      <c r="Z93">
        <v>0.30976019683970341</v>
      </c>
      <c r="AA93">
        <v>0.68872985761114147</v>
      </c>
      <c r="AB93">
        <v>1.138842622258825</v>
      </c>
      <c r="AD93">
        <v>0.69993713118816814</v>
      </c>
      <c r="AE93">
        <v>0.20940493510515742</v>
      </c>
      <c r="AF93">
        <v>0.37833037509241885</v>
      </c>
    </row>
    <row r="94" spans="1:32" x14ac:dyDescent="0.2">
      <c r="A94">
        <v>45.5</v>
      </c>
      <c r="B94">
        <v>1.0795271970498586</v>
      </c>
      <c r="C94">
        <v>0.7790258491024723</v>
      </c>
      <c r="D94">
        <v>1.3119347876020568</v>
      </c>
      <c r="F94">
        <v>1.2419139356051623</v>
      </c>
      <c r="G94">
        <v>0.55083018251127058</v>
      </c>
      <c r="H94">
        <v>1.0338492243537241</v>
      </c>
      <c r="J94">
        <v>0.651354094831602</v>
      </c>
      <c r="K94">
        <v>0.34687475968524634</v>
      </c>
      <c r="L94">
        <v>0.80038703072215911</v>
      </c>
      <c r="N94">
        <v>2.3570242130515711</v>
      </c>
      <c r="O94">
        <v>1.1918346777535966</v>
      </c>
      <c r="P94">
        <v>1.8045366168066717</v>
      </c>
      <c r="R94">
        <v>2.5780995090312224</v>
      </c>
      <c r="S94">
        <v>1.07092339376197</v>
      </c>
      <c r="T94">
        <v>2.3286867964524078</v>
      </c>
      <c r="V94">
        <v>0.94555470009945941</v>
      </c>
      <c r="W94">
        <v>0.28032015092130741</v>
      </c>
      <c r="X94">
        <v>0.81325850160048374</v>
      </c>
      <c r="Z94">
        <v>0.32123519734323869</v>
      </c>
      <c r="AA94">
        <v>0.69045279370921275</v>
      </c>
      <c r="AB94">
        <v>1.0937158173099568</v>
      </c>
      <c r="AD94">
        <v>0.69377827988028251</v>
      </c>
      <c r="AE94">
        <v>0.20778388805830167</v>
      </c>
      <c r="AF94">
        <v>0.38290308935513684</v>
      </c>
    </row>
    <row r="95" spans="1:32" x14ac:dyDescent="0.2">
      <c r="A95">
        <v>46</v>
      </c>
      <c r="B95">
        <v>1.0743417133341051</v>
      </c>
      <c r="C95">
        <v>0.77784125290580708</v>
      </c>
      <c r="D95">
        <v>1.3412992922117897</v>
      </c>
      <c r="F95">
        <v>1.2484688637096439</v>
      </c>
      <c r="G95">
        <v>0.55655649308487032</v>
      </c>
      <c r="H95">
        <v>1.0270966958052621</v>
      </c>
      <c r="J95">
        <v>0.62136298623582975</v>
      </c>
      <c r="K95">
        <v>0.34187589628098458</v>
      </c>
      <c r="L95">
        <v>0.80440569934730421</v>
      </c>
      <c r="N95">
        <v>2.3550369930451467</v>
      </c>
      <c r="O95">
        <v>1.2010993973364996</v>
      </c>
      <c r="P95">
        <v>1.819019314789839</v>
      </c>
      <c r="R95">
        <v>2.62221243388599</v>
      </c>
      <c r="S95">
        <v>1.0676722519357751</v>
      </c>
      <c r="T95">
        <v>2.4038421853042493</v>
      </c>
      <c r="V95">
        <v>0.89995689876404095</v>
      </c>
      <c r="W95">
        <v>0.28128383893570974</v>
      </c>
      <c r="X95">
        <v>0.78832010587305168</v>
      </c>
      <c r="Z95">
        <v>0.2971175556685231</v>
      </c>
      <c r="AA95">
        <v>0.69079552853611026</v>
      </c>
      <c r="AB95">
        <v>1.0839677714230302</v>
      </c>
      <c r="AD95">
        <v>0.64904761434568625</v>
      </c>
      <c r="AE95">
        <v>0.21158309104723666</v>
      </c>
      <c r="AF95">
        <v>0.37636041657824143</v>
      </c>
    </row>
    <row r="96" spans="1:32" x14ac:dyDescent="0.2">
      <c r="A96">
        <v>46.5</v>
      </c>
      <c r="B96">
        <v>1.0630908886660082</v>
      </c>
      <c r="C96">
        <v>0.78286550173439751</v>
      </c>
      <c r="D96">
        <v>1.3219970191355486</v>
      </c>
      <c r="F96">
        <v>1.2214048400516295</v>
      </c>
      <c r="G96">
        <v>0.56427992372063474</v>
      </c>
      <c r="H96">
        <v>1.0101485583320964</v>
      </c>
      <c r="J96">
        <v>0.60796210576240828</v>
      </c>
      <c r="K96">
        <v>0.34298418996468383</v>
      </c>
      <c r="L96">
        <v>0.82551498366672615</v>
      </c>
      <c r="N96">
        <v>2.3374820772524014</v>
      </c>
      <c r="O96">
        <v>1.2299389543636465</v>
      </c>
      <c r="P96">
        <v>1.7992322813559338</v>
      </c>
      <c r="R96">
        <v>2.5987538528711052</v>
      </c>
      <c r="S96">
        <v>1.0692508588038592</v>
      </c>
      <c r="T96">
        <v>2.3272365337974321</v>
      </c>
      <c r="V96">
        <v>0.93751358336934643</v>
      </c>
      <c r="W96">
        <v>0.28062224419697612</v>
      </c>
      <c r="X96">
        <v>0.82107860992913728</v>
      </c>
      <c r="Z96">
        <v>0.31383495397846217</v>
      </c>
      <c r="AA96">
        <v>0.69003652917871094</v>
      </c>
      <c r="AB96">
        <v>1.1001675946446197</v>
      </c>
      <c r="AD96">
        <v>0.67714915259952391</v>
      </c>
      <c r="AE96">
        <v>0.21153774515826285</v>
      </c>
      <c r="AF96">
        <v>0.36801393202199362</v>
      </c>
    </row>
    <row r="97" spans="1:32" x14ac:dyDescent="0.2">
      <c r="A97">
        <v>47</v>
      </c>
      <c r="B97">
        <v>1.0423604391999703</v>
      </c>
      <c r="C97">
        <v>0.7947214373147351</v>
      </c>
      <c r="D97">
        <v>1.3302854933673205</v>
      </c>
      <c r="F97">
        <v>1.2094207115966555</v>
      </c>
      <c r="G97">
        <v>0.56262216671864229</v>
      </c>
      <c r="H97">
        <v>1.0190989658712031</v>
      </c>
      <c r="J97">
        <v>0.61279628336922654</v>
      </c>
      <c r="K97">
        <v>0.34292447440237012</v>
      </c>
      <c r="L97">
        <v>0.82544084110531057</v>
      </c>
      <c r="N97">
        <v>2.2933614383289282</v>
      </c>
      <c r="O97">
        <v>1.2104648768580359</v>
      </c>
      <c r="P97">
        <v>1.7626123167693462</v>
      </c>
      <c r="R97">
        <v>2.4617824479027219</v>
      </c>
      <c r="S97">
        <v>1.0802113979087709</v>
      </c>
      <c r="T97">
        <v>2.3384873274135556</v>
      </c>
      <c r="V97">
        <v>0.94141226173354486</v>
      </c>
      <c r="W97">
        <v>0.28461433242136497</v>
      </c>
      <c r="X97">
        <v>0.81556548713224153</v>
      </c>
      <c r="Z97">
        <v>0.30141322435730156</v>
      </c>
      <c r="AA97">
        <v>0.69800697679506363</v>
      </c>
      <c r="AB97">
        <v>1.1125657249669818</v>
      </c>
      <c r="AD97">
        <v>0.67674582583817999</v>
      </c>
      <c r="AE97">
        <v>0.2098579208933804</v>
      </c>
      <c r="AF97">
        <v>0.40183736197572434</v>
      </c>
    </row>
    <row r="98" spans="1:32" x14ac:dyDescent="0.2">
      <c r="A98">
        <v>47.5</v>
      </c>
      <c r="B98">
        <v>1.0507183453415962</v>
      </c>
      <c r="C98">
        <v>0.78446592168844798</v>
      </c>
      <c r="D98">
        <v>1.3325039083020416</v>
      </c>
      <c r="F98">
        <v>1.2064271137361879</v>
      </c>
      <c r="G98">
        <v>0.56144532748943543</v>
      </c>
      <c r="H98">
        <v>1.0510945181719762</v>
      </c>
      <c r="J98">
        <v>0.60895090111243377</v>
      </c>
      <c r="K98">
        <v>0.34484464612366728</v>
      </c>
      <c r="L98">
        <v>0.78968520414911136</v>
      </c>
      <c r="N98">
        <v>2.2419611226097955</v>
      </c>
      <c r="O98">
        <v>1.2223602480362887</v>
      </c>
      <c r="P98">
        <v>1.7940484818148328</v>
      </c>
      <c r="R98">
        <v>2.4552568041029215</v>
      </c>
      <c r="S98">
        <v>1.0640114403381742</v>
      </c>
      <c r="T98">
        <v>2.3156221793798819</v>
      </c>
      <c r="V98">
        <v>0.9005220618572265</v>
      </c>
      <c r="W98">
        <v>0.28400513610606604</v>
      </c>
      <c r="X98">
        <v>0.81944490652408974</v>
      </c>
      <c r="Z98">
        <v>0.29203956055205205</v>
      </c>
      <c r="AA98">
        <v>0.70289108912478082</v>
      </c>
      <c r="AB98">
        <v>1.1127204091952976</v>
      </c>
      <c r="AD98">
        <v>0.65073048772312392</v>
      </c>
      <c r="AE98">
        <v>0.20910769424826178</v>
      </c>
      <c r="AF98">
        <v>0.37988589883395452</v>
      </c>
    </row>
    <row r="99" spans="1:32" x14ac:dyDescent="0.2">
      <c r="A99">
        <v>48</v>
      </c>
      <c r="B99">
        <v>1.0548329988515552</v>
      </c>
      <c r="C99">
        <v>0.79055787212674944</v>
      </c>
      <c r="D99">
        <v>1.3507649170877711</v>
      </c>
      <c r="F99">
        <v>1.2103758054749583</v>
      </c>
      <c r="G99">
        <v>0.56272346628406633</v>
      </c>
      <c r="H99">
        <v>1.0397408580423941</v>
      </c>
      <c r="J99">
        <v>0.62167271157133308</v>
      </c>
      <c r="K99">
        <v>0.34743817384750603</v>
      </c>
      <c r="L99">
        <v>0.7983990446062601</v>
      </c>
      <c r="N99">
        <v>2.2741540494634123</v>
      </c>
      <c r="O99">
        <v>1.2311069524652061</v>
      </c>
      <c r="P99">
        <v>1.7858023759129864</v>
      </c>
      <c r="R99">
        <v>2.5088382258102517</v>
      </c>
      <c r="S99">
        <v>1.0727204094677121</v>
      </c>
      <c r="T99">
        <v>2.3360654563515255</v>
      </c>
      <c r="V99">
        <v>0.92746268161174272</v>
      </c>
      <c r="W99">
        <v>0.29048138097077514</v>
      </c>
      <c r="X99">
        <v>0.83264155890730862</v>
      </c>
      <c r="Z99">
        <v>0.30750642112526044</v>
      </c>
      <c r="AA99">
        <v>0.70000140355843143</v>
      </c>
      <c r="AB99">
        <v>1.1176928146050429</v>
      </c>
      <c r="AD99">
        <v>0.66075327892059565</v>
      </c>
      <c r="AE99">
        <v>0.21681812483842547</v>
      </c>
      <c r="AF99">
        <v>0.37418279160625773</v>
      </c>
    </row>
    <row r="100" spans="1:32" x14ac:dyDescent="0.2">
      <c r="A100">
        <v>48.5</v>
      </c>
      <c r="B100">
        <v>1.0717297405301351</v>
      </c>
      <c r="C100">
        <v>0.79203999756303822</v>
      </c>
      <c r="D100">
        <v>1.3690225613186893</v>
      </c>
      <c r="F100">
        <v>1.2301617260751381</v>
      </c>
      <c r="G100">
        <v>0.56883696890870827</v>
      </c>
      <c r="H100">
        <v>1.0703378361977036</v>
      </c>
      <c r="J100">
        <v>0.59912695016252016</v>
      </c>
      <c r="K100">
        <v>0.34166053632835908</v>
      </c>
      <c r="L100">
        <v>0.81456803192773952</v>
      </c>
      <c r="N100">
        <v>2.2207141778313804</v>
      </c>
      <c r="O100">
        <v>1.2318186248745866</v>
      </c>
      <c r="P100">
        <v>1.7938187469807541</v>
      </c>
      <c r="R100">
        <v>2.5176407987006697</v>
      </c>
      <c r="S100">
        <v>1.0841859611677374</v>
      </c>
      <c r="T100">
        <v>2.3097021280615495</v>
      </c>
      <c r="V100">
        <v>0.91850591186031905</v>
      </c>
      <c r="W100">
        <v>0.29012491452685296</v>
      </c>
      <c r="X100">
        <v>0.83878538850011286</v>
      </c>
      <c r="Z100">
        <v>0.278181998265563</v>
      </c>
      <c r="AA100">
        <v>0.6970210882127561</v>
      </c>
      <c r="AB100">
        <v>1.1287820071503665</v>
      </c>
      <c r="AD100">
        <v>0.64163068348639685</v>
      </c>
      <c r="AE100">
        <v>0.21830141498791686</v>
      </c>
      <c r="AF100">
        <v>0.38862166207307125</v>
      </c>
    </row>
    <row r="101" spans="1:32" x14ac:dyDescent="0.2">
      <c r="A101">
        <v>49</v>
      </c>
      <c r="B101">
        <v>1.0676178236571863</v>
      </c>
      <c r="C101">
        <v>0.79855643393328091</v>
      </c>
      <c r="D101">
        <v>1.3779072253023239</v>
      </c>
      <c r="F101">
        <v>1.2117135320363319</v>
      </c>
      <c r="G101">
        <v>0.56910816008841347</v>
      </c>
      <c r="H101">
        <v>1.0562448780574851</v>
      </c>
      <c r="J101">
        <v>0.58917056806593071</v>
      </c>
      <c r="K101">
        <v>0.35207855006836797</v>
      </c>
      <c r="L101">
        <v>0.76806245079268887</v>
      </c>
      <c r="N101">
        <v>2.2546526862863367</v>
      </c>
      <c r="O101">
        <v>1.2184672013743021</v>
      </c>
      <c r="P101">
        <v>1.8142140464159426</v>
      </c>
      <c r="R101">
        <v>2.4371482967986999</v>
      </c>
      <c r="S101">
        <v>1.0806296015230643</v>
      </c>
      <c r="T101">
        <v>2.3055792648725979</v>
      </c>
      <c r="V101">
        <v>0.88364526046194281</v>
      </c>
      <c r="W101">
        <v>0.2890609848056872</v>
      </c>
      <c r="X101">
        <v>0.82648570445918335</v>
      </c>
      <c r="Z101">
        <v>0.28332939320831868</v>
      </c>
      <c r="AA101">
        <v>0.70534240584435814</v>
      </c>
      <c r="AB101">
        <v>1.093010229625432</v>
      </c>
      <c r="AD101">
        <v>0.6364284477693003</v>
      </c>
      <c r="AE101">
        <v>0.21918364059911558</v>
      </c>
      <c r="AF101">
        <v>0.37795930197903449</v>
      </c>
    </row>
    <row r="102" spans="1:32" x14ac:dyDescent="0.2">
      <c r="A102">
        <v>49.5</v>
      </c>
      <c r="B102">
        <v>1.0496828074507421</v>
      </c>
      <c r="C102">
        <v>0.79792221275657882</v>
      </c>
      <c r="D102">
        <v>1.4165450951216783</v>
      </c>
      <c r="F102">
        <v>1.2012848279521184</v>
      </c>
      <c r="G102">
        <v>0.58012775290287211</v>
      </c>
      <c r="H102">
        <v>1.0626882310198031</v>
      </c>
      <c r="J102">
        <v>0.57741533249004828</v>
      </c>
      <c r="K102">
        <v>0.35087161527792909</v>
      </c>
      <c r="L102">
        <v>0.75661347267734247</v>
      </c>
      <c r="N102">
        <v>2.2970771173558182</v>
      </c>
      <c r="O102">
        <v>1.2515209495394641</v>
      </c>
      <c r="P102">
        <v>1.8344966929805833</v>
      </c>
      <c r="R102">
        <v>2.5009582776729284</v>
      </c>
      <c r="S102">
        <v>1.093317366036954</v>
      </c>
      <c r="T102">
        <v>2.2856840702536232</v>
      </c>
      <c r="V102">
        <v>0.85296799215177166</v>
      </c>
      <c r="W102">
        <v>0.28999463373906748</v>
      </c>
      <c r="X102">
        <v>0.83374590187641184</v>
      </c>
      <c r="Z102">
        <v>0.2888876475045114</v>
      </c>
      <c r="AA102">
        <v>0.70640405444634113</v>
      </c>
      <c r="AB102">
        <v>1.10420331054414</v>
      </c>
      <c r="AD102">
        <v>0.63824115046420538</v>
      </c>
      <c r="AE102">
        <v>0.2221678859764015</v>
      </c>
      <c r="AF102">
        <v>0.41228892186941063</v>
      </c>
    </row>
    <row r="103" spans="1:32" x14ac:dyDescent="0.2">
      <c r="A103">
        <v>50</v>
      </c>
      <c r="B103">
        <v>1.041260291411783</v>
      </c>
      <c r="C103">
        <v>0.79367953025058291</v>
      </c>
      <c r="D103">
        <v>1.3898154989368698</v>
      </c>
      <c r="F103">
        <v>1.1947926573534349</v>
      </c>
      <c r="G103">
        <v>0.57388264284239399</v>
      </c>
      <c r="H103">
        <v>1.1045604307148742</v>
      </c>
      <c r="J103">
        <v>0.62471366938442674</v>
      </c>
      <c r="K103">
        <v>0.34932610893345484</v>
      </c>
      <c r="L103">
        <v>0.7775024839435678</v>
      </c>
      <c r="N103">
        <v>2.3065076249292367</v>
      </c>
      <c r="O103">
        <v>1.2083355635391417</v>
      </c>
      <c r="P103">
        <v>1.8658003834558559</v>
      </c>
      <c r="R103">
        <v>2.5177819668056216</v>
      </c>
      <c r="S103">
        <v>1.0925769517490935</v>
      </c>
      <c r="T103">
        <v>2.3373074956178117</v>
      </c>
      <c r="V103">
        <v>0.8941501983480441</v>
      </c>
      <c r="W103">
        <v>0.28979381140265009</v>
      </c>
      <c r="X103">
        <v>0.83757491759537006</v>
      </c>
      <c r="Z103">
        <v>0.28899637233822328</v>
      </c>
      <c r="AA103">
        <v>0.71547649804535995</v>
      </c>
      <c r="AB103">
        <v>1.1177107753269981</v>
      </c>
      <c r="AD103">
        <v>0.62419818995826215</v>
      </c>
      <c r="AE103">
        <v>0.22637126611554362</v>
      </c>
      <c r="AF103">
        <v>0.38616925041921712</v>
      </c>
    </row>
    <row r="104" spans="1:32" x14ac:dyDescent="0.2">
      <c r="A104">
        <v>50.5</v>
      </c>
      <c r="B104">
        <v>1.0433280505099538</v>
      </c>
      <c r="C104">
        <v>0.79465127448473782</v>
      </c>
      <c r="D104">
        <v>1.3978512036400774</v>
      </c>
      <c r="F104">
        <v>1.2471276343759576</v>
      </c>
      <c r="G104">
        <v>0.56841164730147631</v>
      </c>
      <c r="H104">
        <v>1.0897084498630356</v>
      </c>
      <c r="J104">
        <v>0.5436902288903912</v>
      </c>
      <c r="K104">
        <v>0.3552837950409275</v>
      </c>
      <c r="L104">
        <v>0.80183383015119081</v>
      </c>
      <c r="N104">
        <v>2.2248520255088962</v>
      </c>
      <c r="O104">
        <v>1.2273003917994401</v>
      </c>
      <c r="P104">
        <v>1.8407791865009544</v>
      </c>
      <c r="R104">
        <v>2.4752077935835959</v>
      </c>
      <c r="S104">
        <v>1.0967469499185429</v>
      </c>
      <c r="T104">
        <v>2.3160441700753172</v>
      </c>
      <c r="V104">
        <v>0.87228370508561714</v>
      </c>
      <c r="W104">
        <v>0.29451130789217872</v>
      </c>
      <c r="X104">
        <v>0.83274734097872294</v>
      </c>
      <c r="Z104">
        <v>0.29168025095395222</v>
      </c>
      <c r="AA104">
        <v>0.70996521951587854</v>
      </c>
      <c r="AB104">
        <v>1.1288809490047005</v>
      </c>
      <c r="AD104">
        <v>0.63581896930476045</v>
      </c>
      <c r="AE104">
        <v>0.22271809297768319</v>
      </c>
      <c r="AF104">
        <v>0.3894340179360653</v>
      </c>
    </row>
    <row r="105" spans="1:32" x14ac:dyDescent="0.2">
      <c r="A105">
        <v>51</v>
      </c>
      <c r="B105">
        <v>1.0642465710017508</v>
      </c>
      <c r="C105">
        <v>0.80672404847917134</v>
      </c>
      <c r="D105">
        <v>1.3869287541566919</v>
      </c>
      <c r="F105">
        <v>1.1839533147779757</v>
      </c>
      <c r="G105">
        <v>0.57013026155173019</v>
      </c>
      <c r="H105">
        <v>1.0720593608510727</v>
      </c>
      <c r="J105">
        <v>0.58712302541672057</v>
      </c>
      <c r="K105">
        <v>0.35062634527826014</v>
      </c>
      <c r="L105">
        <v>0.77715735146656084</v>
      </c>
      <c r="N105">
        <v>2.2029777385416667</v>
      </c>
      <c r="O105">
        <v>1.2115929998407522</v>
      </c>
      <c r="P105">
        <v>1.8543541998092081</v>
      </c>
      <c r="R105">
        <v>2.5897122167219315</v>
      </c>
      <c r="S105">
        <v>1.0896286259639127</v>
      </c>
      <c r="T105">
        <v>2.292469000366109</v>
      </c>
      <c r="V105">
        <v>0.90971282570566658</v>
      </c>
      <c r="W105">
        <v>0.29148703170782786</v>
      </c>
      <c r="X105">
        <v>0.84964715706577132</v>
      </c>
      <c r="Z105">
        <v>0.29531454138976115</v>
      </c>
      <c r="AA105">
        <v>0.71237412557532687</v>
      </c>
      <c r="AB105">
        <v>1.1073427696929687</v>
      </c>
      <c r="AD105">
        <v>0.62722500805822312</v>
      </c>
      <c r="AE105">
        <v>0.2256172525469087</v>
      </c>
      <c r="AF105">
        <v>0.39444335366647676</v>
      </c>
    </row>
    <row r="106" spans="1:32" x14ac:dyDescent="0.2">
      <c r="A106">
        <v>51.5</v>
      </c>
      <c r="B106">
        <v>1.0416297460685862</v>
      </c>
      <c r="C106">
        <v>0.80012448286441484</v>
      </c>
      <c r="D106">
        <v>1.3875082833076609</v>
      </c>
      <c r="F106">
        <v>1.1867173889914486</v>
      </c>
      <c r="G106">
        <v>0.56964173476254354</v>
      </c>
      <c r="H106">
        <v>1.1131446178850599</v>
      </c>
      <c r="J106">
        <v>0.63063928650474677</v>
      </c>
      <c r="K106">
        <v>0.3468158177653462</v>
      </c>
      <c r="L106">
        <v>0.77459227688452315</v>
      </c>
      <c r="N106">
        <v>2.2002411709561445</v>
      </c>
      <c r="O106">
        <v>1.2305159580281513</v>
      </c>
      <c r="P106">
        <v>1.8694427420992126</v>
      </c>
      <c r="R106">
        <v>2.4322350368516408</v>
      </c>
      <c r="S106">
        <v>1.1023772824465639</v>
      </c>
      <c r="T106">
        <v>2.3153248400555908</v>
      </c>
      <c r="V106">
        <v>0.81294576838330013</v>
      </c>
      <c r="W106">
        <v>0.29273636771550743</v>
      </c>
      <c r="X106">
        <v>0.84562469220837344</v>
      </c>
      <c r="Z106">
        <v>0.28700642098118379</v>
      </c>
      <c r="AA106">
        <v>0.71524266017253801</v>
      </c>
      <c r="AB106">
        <v>1.1629616575612209</v>
      </c>
      <c r="AD106">
        <v>0.65202144866293021</v>
      </c>
      <c r="AE106">
        <v>0.2262463479994819</v>
      </c>
      <c r="AF106">
        <v>0.42339217918121691</v>
      </c>
    </row>
    <row r="107" spans="1:32" x14ac:dyDescent="0.2">
      <c r="A107">
        <v>52</v>
      </c>
      <c r="B107">
        <v>1.0449731542834926</v>
      </c>
      <c r="C107">
        <v>0.8000444845930007</v>
      </c>
      <c r="D107">
        <v>1.3547545572195094</v>
      </c>
      <c r="F107">
        <v>1.2098816095844269</v>
      </c>
      <c r="G107">
        <v>0.57107413628477643</v>
      </c>
      <c r="H107">
        <v>1.0826396974813572</v>
      </c>
      <c r="J107">
        <v>0.58207968720156966</v>
      </c>
      <c r="K107">
        <v>0.3533094426794765</v>
      </c>
      <c r="L107">
        <v>0.7866131735694164</v>
      </c>
      <c r="N107">
        <v>2.2170049571881227</v>
      </c>
      <c r="O107">
        <v>1.236851917985361</v>
      </c>
      <c r="P107">
        <v>1.8657305348236513</v>
      </c>
      <c r="R107">
        <v>2.4139357302603179</v>
      </c>
      <c r="S107">
        <v>1.1021648348730342</v>
      </c>
      <c r="T107">
        <v>2.3103499893972064</v>
      </c>
      <c r="V107">
        <v>0.86291260325192753</v>
      </c>
      <c r="W107">
        <v>0.29607947733866768</v>
      </c>
      <c r="X107">
        <v>0.88738176417733106</v>
      </c>
      <c r="Z107">
        <v>0.27487764325608982</v>
      </c>
      <c r="AA107">
        <v>0.71528007343728062</v>
      </c>
      <c r="AB107">
        <v>1.1260633240791549</v>
      </c>
      <c r="AD107">
        <v>0.63250443532705991</v>
      </c>
      <c r="AE107">
        <v>0.22482927057482785</v>
      </c>
      <c r="AF107">
        <v>0.39517669152707635</v>
      </c>
    </row>
    <row r="108" spans="1:32" x14ac:dyDescent="0.2">
      <c r="A108">
        <v>52.5</v>
      </c>
      <c r="B108">
        <v>0.97062346753430784</v>
      </c>
      <c r="C108">
        <v>0.8017011998520891</v>
      </c>
      <c r="D108">
        <v>1.3895178889670148</v>
      </c>
      <c r="F108">
        <v>1.1893000079265419</v>
      </c>
      <c r="G108">
        <v>0.57783116433101867</v>
      </c>
      <c r="H108">
        <v>1.0708763795134792</v>
      </c>
      <c r="J108">
        <v>0.55620365296885077</v>
      </c>
      <c r="K108">
        <v>0.36149811523134168</v>
      </c>
      <c r="L108">
        <v>0.78819727000568762</v>
      </c>
      <c r="N108">
        <v>2.2078763549756997</v>
      </c>
      <c r="O108">
        <v>1.2378478320307291</v>
      </c>
      <c r="P108">
        <v>1.8750790392031988</v>
      </c>
      <c r="R108">
        <v>2.5570963177588864</v>
      </c>
      <c r="S108">
        <v>1.1109221292611056</v>
      </c>
      <c r="T108">
        <v>2.3351836466021259</v>
      </c>
      <c r="V108">
        <v>0.84555332699318719</v>
      </c>
      <c r="W108">
        <v>0.30244978155855134</v>
      </c>
      <c r="X108">
        <v>0.89005627858169889</v>
      </c>
      <c r="Z108">
        <v>0.279988195514003</v>
      </c>
      <c r="AA108">
        <v>0.71539890903535563</v>
      </c>
      <c r="AB108">
        <v>1.0817887112468945</v>
      </c>
      <c r="AD108">
        <v>0.64229750941973451</v>
      </c>
      <c r="AE108">
        <v>0.23011175858591382</v>
      </c>
      <c r="AF108">
        <v>0.42573688122610287</v>
      </c>
    </row>
    <row r="109" spans="1:32" x14ac:dyDescent="0.2">
      <c r="A109">
        <v>53</v>
      </c>
      <c r="B109">
        <v>1.0297645946751395</v>
      </c>
      <c r="C109">
        <v>0.79765060520989284</v>
      </c>
      <c r="D109">
        <v>1.3641399823494222</v>
      </c>
      <c r="F109">
        <v>1.1781479978839684</v>
      </c>
      <c r="G109">
        <v>0.58042142055933121</v>
      </c>
      <c r="H109">
        <v>1.1103331013676738</v>
      </c>
      <c r="J109">
        <v>0.61198417536048932</v>
      </c>
      <c r="K109">
        <v>0.36628302613322594</v>
      </c>
      <c r="L109">
        <v>0.81804858101061628</v>
      </c>
      <c r="N109">
        <v>2.2268683289696889</v>
      </c>
      <c r="O109">
        <v>1.2406148693625922</v>
      </c>
      <c r="P109">
        <v>1.8061031728354442</v>
      </c>
      <c r="R109">
        <v>2.4990685666258958</v>
      </c>
      <c r="S109">
        <v>1.1040134794412069</v>
      </c>
      <c r="T109">
        <v>2.331560949254655</v>
      </c>
      <c r="V109">
        <v>0.81125253803994013</v>
      </c>
      <c r="W109">
        <v>0.30378999294458936</v>
      </c>
      <c r="X109">
        <v>0.88263696698897387</v>
      </c>
      <c r="Z109">
        <v>0.26209982240886265</v>
      </c>
      <c r="AA109">
        <v>0.71654781645818544</v>
      </c>
      <c r="AB109">
        <v>1.1062183669136296</v>
      </c>
      <c r="AD109">
        <v>0.62695992141858337</v>
      </c>
      <c r="AE109">
        <v>0.23488979600430204</v>
      </c>
      <c r="AF109">
        <v>0.43566751348184413</v>
      </c>
    </row>
    <row r="110" spans="1:32" x14ac:dyDescent="0.2">
      <c r="A110">
        <v>53.5</v>
      </c>
      <c r="B110">
        <v>1.0229392716605554</v>
      </c>
      <c r="C110">
        <v>0.80872615121357827</v>
      </c>
      <c r="D110">
        <v>1.3878046781130462</v>
      </c>
      <c r="F110">
        <v>1.1788916409884944</v>
      </c>
      <c r="G110">
        <v>0.58052211869332404</v>
      </c>
      <c r="H110">
        <v>1.0867525136880323</v>
      </c>
      <c r="J110">
        <v>0.55323993854236053</v>
      </c>
      <c r="K110">
        <v>0.35319058216848831</v>
      </c>
      <c r="L110">
        <v>0.8077303934240172</v>
      </c>
      <c r="N110">
        <v>2.1743124263782638</v>
      </c>
      <c r="O110">
        <v>1.2500618128400767</v>
      </c>
      <c r="P110">
        <v>1.8552239463519404</v>
      </c>
      <c r="R110">
        <v>2.3262318384787823</v>
      </c>
      <c r="S110">
        <v>1.1012813015869058</v>
      </c>
      <c r="T110">
        <v>2.394860088585633</v>
      </c>
      <c r="V110">
        <v>0.82521812097583525</v>
      </c>
      <c r="W110">
        <v>0.30616033403254178</v>
      </c>
      <c r="X110">
        <v>0.90192296907660641</v>
      </c>
      <c r="Z110">
        <v>0.28465167710416506</v>
      </c>
      <c r="AA110">
        <v>0.71365479233316842</v>
      </c>
      <c r="AB110">
        <v>1.098292673527544</v>
      </c>
      <c r="AD110">
        <v>0.63885438032551511</v>
      </c>
      <c r="AE110">
        <v>0.23083418968257682</v>
      </c>
      <c r="AF110">
        <v>0.4195899550472757</v>
      </c>
    </row>
    <row r="111" spans="1:32" x14ac:dyDescent="0.2">
      <c r="A111">
        <v>54</v>
      </c>
      <c r="B111">
        <v>1.0131481577030552</v>
      </c>
      <c r="C111">
        <v>0.80462213012274619</v>
      </c>
      <c r="D111">
        <v>1.341341014552438</v>
      </c>
      <c r="F111">
        <v>1.2051867211456877</v>
      </c>
      <c r="G111">
        <v>0.58125619916992144</v>
      </c>
      <c r="H111">
        <v>1.1303788628709319</v>
      </c>
      <c r="J111">
        <v>0.54871727367044132</v>
      </c>
      <c r="K111">
        <v>0.36383165636007492</v>
      </c>
      <c r="L111">
        <v>0.81982338335691873</v>
      </c>
      <c r="N111">
        <v>2.1510189353316354</v>
      </c>
      <c r="O111">
        <v>1.2641872148196149</v>
      </c>
      <c r="P111">
        <v>1.8612037022642227</v>
      </c>
      <c r="R111">
        <v>2.4793245121218725</v>
      </c>
      <c r="S111">
        <v>1.104662371788045</v>
      </c>
      <c r="T111">
        <v>2.3597985416668696</v>
      </c>
      <c r="V111">
        <v>0.8415970882225482</v>
      </c>
      <c r="W111">
        <v>0.30566283438777281</v>
      </c>
      <c r="X111">
        <v>0.87369913194657567</v>
      </c>
      <c r="Z111">
        <v>0.28241973850472568</v>
      </c>
      <c r="AA111">
        <v>0.7171826377988566</v>
      </c>
      <c r="AB111">
        <v>1.1328523891271409</v>
      </c>
      <c r="AD111">
        <v>0.61312407366245814</v>
      </c>
      <c r="AE111">
        <v>0.23064881044820443</v>
      </c>
      <c r="AF111">
        <v>0.41558813844750669</v>
      </c>
    </row>
    <row r="112" spans="1:32" x14ac:dyDescent="0.2">
      <c r="A112">
        <v>54.5</v>
      </c>
      <c r="B112">
        <v>1.0159365995299585</v>
      </c>
      <c r="C112">
        <v>0.80667561430444146</v>
      </c>
      <c r="D112">
        <v>1.3371361491187967</v>
      </c>
      <c r="F112">
        <v>1.1637982975583019</v>
      </c>
      <c r="G112">
        <v>0.59383046245250237</v>
      </c>
      <c r="H112">
        <v>1.0958732685902504</v>
      </c>
      <c r="J112">
        <v>0.52059765472530084</v>
      </c>
      <c r="K112">
        <v>0.36468399135750051</v>
      </c>
      <c r="L112">
        <v>0.78948701966076551</v>
      </c>
      <c r="N112">
        <v>2.1651224616809963</v>
      </c>
      <c r="O112">
        <v>1.270011081072828</v>
      </c>
      <c r="P112">
        <v>1.8616116220357635</v>
      </c>
      <c r="R112">
        <v>2.3633083726352679</v>
      </c>
      <c r="S112">
        <v>1.1014911501823439</v>
      </c>
      <c r="T112">
        <v>2.2975825656840745</v>
      </c>
      <c r="V112">
        <v>0.8297884916540772</v>
      </c>
      <c r="W112">
        <v>0.3065712725286367</v>
      </c>
      <c r="X112">
        <v>0.88252635774649624</v>
      </c>
      <c r="Z112">
        <v>0.2783683039546197</v>
      </c>
      <c r="AA112">
        <v>0.72313106965753216</v>
      </c>
      <c r="AB112">
        <v>1.1142597584562599</v>
      </c>
      <c r="AD112">
        <v>0.65004948514810768</v>
      </c>
      <c r="AE112">
        <v>0.23387679169186784</v>
      </c>
      <c r="AF112">
        <v>0.40203181705417507</v>
      </c>
    </row>
    <row r="113" spans="1:32" x14ac:dyDescent="0.2">
      <c r="A113">
        <v>55</v>
      </c>
      <c r="B113">
        <v>0.97763961363171281</v>
      </c>
      <c r="C113">
        <v>0.80983018803393048</v>
      </c>
      <c r="D113">
        <v>1.3563754455471175</v>
      </c>
      <c r="F113">
        <v>1.2069323467960635</v>
      </c>
      <c r="G113">
        <v>0.5963716012615371</v>
      </c>
      <c r="H113">
        <v>1.1005596514504696</v>
      </c>
      <c r="J113">
        <v>0.55886811688964777</v>
      </c>
      <c r="K113">
        <v>0.36232672970425955</v>
      </c>
      <c r="L113">
        <v>0.76079705426795929</v>
      </c>
      <c r="N113">
        <v>2.1333804085345922</v>
      </c>
      <c r="O113">
        <v>1.2603071414997347</v>
      </c>
      <c r="P113">
        <v>1.8808350697711698</v>
      </c>
      <c r="R113">
        <v>2.3721795552072371</v>
      </c>
      <c r="S113">
        <v>1.1059911927470476</v>
      </c>
      <c r="T113">
        <v>2.3170075307795557</v>
      </c>
      <c r="V113">
        <v>0.84965317809967333</v>
      </c>
      <c r="W113">
        <v>0.30757063694993764</v>
      </c>
      <c r="X113">
        <v>0.9112378114256785</v>
      </c>
      <c r="Z113">
        <v>0.27207456922349782</v>
      </c>
      <c r="AA113">
        <v>0.72327861097885737</v>
      </c>
      <c r="AB113">
        <v>1.1314472519113301</v>
      </c>
      <c r="AD113">
        <v>0.64900800689676175</v>
      </c>
      <c r="AE113">
        <v>0.23104648591629359</v>
      </c>
      <c r="AF113">
        <v>0.43269600496465549</v>
      </c>
    </row>
    <row r="114" spans="1:32" x14ac:dyDescent="0.2">
      <c r="A114">
        <v>55.5</v>
      </c>
      <c r="B114">
        <v>0.96633367159318673</v>
      </c>
      <c r="C114">
        <v>0.81128378321795336</v>
      </c>
      <c r="D114">
        <v>1.3772745561112945</v>
      </c>
      <c r="F114">
        <v>1.1376671260571041</v>
      </c>
      <c r="G114">
        <v>0.60297804431194713</v>
      </c>
      <c r="H114">
        <v>1.081186574323564</v>
      </c>
      <c r="J114">
        <v>0.52123249805216099</v>
      </c>
      <c r="K114">
        <v>0.36157519886566603</v>
      </c>
      <c r="L114">
        <v>0.75122521170991818</v>
      </c>
      <c r="N114">
        <v>2.0801884796671763</v>
      </c>
      <c r="O114">
        <v>1.2745317659065023</v>
      </c>
      <c r="P114">
        <v>1.8756539802375614</v>
      </c>
      <c r="R114">
        <v>2.4186428461223461</v>
      </c>
      <c r="S114">
        <v>1.1200513319247039</v>
      </c>
      <c r="T114">
        <v>2.3427407030102834</v>
      </c>
      <c r="V114">
        <v>0.82841353052718036</v>
      </c>
      <c r="W114">
        <v>0.30777027146735325</v>
      </c>
      <c r="X114">
        <v>0.87722675909475423</v>
      </c>
      <c r="Z114">
        <v>0.28256517077194593</v>
      </c>
      <c r="AA114">
        <v>0.71711562741678458</v>
      </c>
      <c r="AB114">
        <v>1.1234190252955258</v>
      </c>
      <c r="AD114">
        <v>0.62874099507499059</v>
      </c>
      <c r="AE114">
        <v>0.23352436401625107</v>
      </c>
      <c r="AF114">
        <v>0.40910758519975787</v>
      </c>
    </row>
    <row r="115" spans="1:32" x14ac:dyDescent="0.2">
      <c r="A115">
        <v>56</v>
      </c>
      <c r="B115">
        <v>0.98168287989043923</v>
      </c>
      <c r="C115">
        <v>0.81008503163587275</v>
      </c>
      <c r="D115">
        <v>1.3091155261291969</v>
      </c>
      <c r="F115">
        <v>1.2247078171890369</v>
      </c>
      <c r="G115">
        <v>0.61617530364694439</v>
      </c>
      <c r="H115">
        <v>1.085771576288888</v>
      </c>
      <c r="J115">
        <v>0.53474438865864327</v>
      </c>
      <c r="K115">
        <v>0.37690905167436811</v>
      </c>
      <c r="L115">
        <v>0.78011485001755898</v>
      </c>
      <c r="N115">
        <v>2.0189923584112797</v>
      </c>
      <c r="O115">
        <v>1.2611320208029762</v>
      </c>
      <c r="P115">
        <v>1.9135750268599307</v>
      </c>
      <c r="R115">
        <v>2.3814964366996598</v>
      </c>
      <c r="S115">
        <v>1.1076147990465168</v>
      </c>
      <c r="T115">
        <v>2.2992189679430735</v>
      </c>
      <c r="V115">
        <v>0.8538125938908171</v>
      </c>
      <c r="W115">
        <v>0.30911542641460993</v>
      </c>
      <c r="X115">
        <v>0.91827138291749133</v>
      </c>
      <c r="Z115">
        <v>0.2603144900623362</v>
      </c>
      <c r="AA115">
        <v>0.71788725125603003</v>
      </c>
      <c r="AB115">
        <v>1.1194651794407589</v>
      </c>
      <c r="AD115">
        <v>0.62370580637568507</v>
      </c>
      <c r="AE115">
        <v>0.23188991910256787</v>
      </c>
      <c r="AF115">
        <v>0.43255795861442914</v>
      </c>
    </row>
    <row r="116" spans="1:32" x14ac:dyDescent="0.2">
      <c r="A116">
        <v>56.5</v>
      </c>
      <c r="B116">
        <v>0.98013214003128157</v>
      </c>
      <c r="C116">
        <v>0.80607255932961952</v>
      </c>
      <c r="D116">
        <v>1.3356895888601059</v>
      </c>
      <c r="F116">
        <v>1.1819497405970636</v>
      </c>
      <c r="G116">
        <v>0.61096993320460624</v>
      </c>
      <c r="H116">
        <v>1.0951894642404909</v>
      </c>
      <c r="J116">
        <v>0.54512347253040094</v>
      </c>
      <c r="K116">
        <v>0.37470294325250608</v>
      </c>
      <c r="L116">
        <v>0.76750789884342041</v>
      </c>
      <c r="N116">
        <v>2.0715273942286085</v>
      </c>
      <c r="O116">
        <v>1.2575649724319546</v>
      </c>
      <c r="P116">
        <v>1.8542411900954734</v>
      </c>
      <c r="R116">
        <v>2.3454909665155825</v>
      </c>
      <c r="S116">
        <v>1.125705794640691</v>
      </c>
      <c r="T116">
        <v>2.2955974797760743</v>
      </c>
      <c r="V116">
        <v>0.84011699549074748</v>
      </c>
      <c r="W116">
        <v>0.31418429725339919</v>
      </c>
      <c r="X116">
        <v>0.8898666241173111</v>
      </c>
      <c r="Z116">
        <v>0.28467504560256746</v>
      </c>
      <c r="AA116">
        <v>0.71644821390555158</v>
      </c>
      <c r="AB116">
        <v>1.1070718472405778</v>
      </c>
      <c r="AD116">
        <v>0.62673047716492669</v>
      </c>
      <c r="AE116">
        <v>0.23730557746847314</v>
      </c>
      <c r="AF116">
        <v>0.43625526427674899</v>
      </c>
    </row>
    <row r="117" spans="1:32" x14ac:dyDescent="0.2">
      <c r="A117">
        <v>57</v>
      </c>
      <c r="B117">
        <v>1.0018917245114072</v>
      </c>
      <c r="C117">
        <v>0.81168898436657266</v>
      </c>
      <c r="D117">
        <v>1.3467382260972154</v>
      </c>
      <c r="F117">
        <v>1.1423002017860542</v>
      </c>
      <c r="G117">
        <v>0.61266334285563651</v>
      </c>
      <c r="H117">
        <v>1.0814189622936718</v>
      </c>
      <c r="J117">
        <v>0.53609606293029577</v>
      </c>
      <c r="K117">
        <v>0.37320034473854807</v>
      </c>
      <c r="L117">
        <v>0.74942399984870922</v>
      </c>
      <c r="N117">
        <v>1.9804150956773074</v>
      </c>
      <c r="O117">
        <v>1.2683463483626067</v>
      </c>
      <c r="P117">
        <v>1.9004649978306296</v>
      </c>
      <c r="R117">
        <v>2.3190340414141297</v>
      </c>
      <c r="S117">
        <v>1.1368250919296274</v>
      </c>
      <c r="T117">
        <v>2.2619600779026139</v>
      </c>
      <c r="V117">
        <v>0.8031685127443311</v>
      </c>
      <c r="W117">
        <v>0.3133926926057361</v>
      </c>
      <c r="X117">
        <v>0.86640470916280155</v>
      </c>
      <c r="Z117">
        <v>0.26894697131926593</v>
      </c>
      <c r="AA117">
        <v>0.71783228098511487</v>
      </c>
      <c r="AB117">
        <v>1.1204536695146077</v>
      </c>
      <c r="AD117">
        <v>0.61442294327739844</v>
      </c>
      <c r="AE117">
        <v>0.23526209621812236</v>
      </c>
      <c r="AF117">
        <v>0.43098772558878545</v>
      </c>
    </row>
    <row r="118" spans="1:32" x14ac:dyDescent="0.2">
      <c r="A118">
        <v>57.5</v>
      </c>
      <c r="B118">
        <v>0.99991874654284607</v>
      </c>
      <c r="C118">
        <v>0.82018152310554537</v>
      </c>
      <c r="D118">
        <v>1.3560404987858832</v>
      </c>
      <c r="F118">
        <v>1.2383797572416588</v>
      </c>
      <c r="G118">
        <v>0.61266921021948106</v>
      </c>
      <c r="H118">
        <v>1.1158600862051</v>
      </c>
      <c r="J118">
        <v>0.51789834881765084</v>
      </c>
      <c r="K118">
        <v>0.36543986962178326</v>
      </c>
      <c r="L118">
        <v>0.77964343273873982</v>
      </c>
      <c r="N118">
        <v>2.1409385682360762</v>
      </c>
      <c r="O118">
        <v>1.2550041891886012</v>
      </c>
      <c r="P118">
        <v>1.8601738159933512</v>
      </c>
      <c r="R118">
        <v>2.3150107849806019</v>
      </c>
      <c r="S118">
        <v>1.1190391686341357</v>
      </c>
      <c r="T118">
        <v>2.3107596050600545</v>
      </c>
      <c r="V118">
        <v>0.81975793189566992</v>
      </c>
      <c r="W118">
        <v>0.31246162043216114</v>
      </c>
      <c r="X118">
        <v>0.87993301703642346</v>
      </c>
      <c r="Z118">
        <v>0.27147448455847617</v>
      </c>
      <c r="AA118">
        <v>0.72231245410175504</v>
      </c>
      <c r="AB118">
        <v>1.1104809364469248</v>
      </c>
      <c r="AD118">
        <v>0.62541947369658257</v>
      </c>
      <c r="AE118">
        <v>0.24119044492609035</v>
      </c>
      <c r="AF118">
        <v>0.44591762606163737</v>
      </c>
    </row>
    <row r="119" spans="1:32" x14ac:dyDescent="0.2">
      <c r="A119">
        <v>58</v>
      </c>
      <c r="B119">
        <v>0.96661149197272545</v>
      </c>
      <c r="C119">
        <v>0.81942607984997851</v>
      </c>
      <c r="D119">
        <v>1.3582303147698149</v>
      </c>
      <c r="F119">
        <v>1.1639590745593171</v>
      </c>
      <c r="G119">
        <v>0.62272513455050027</v>
      </c>
      <c r="H119">
        <v>1.0980524126008204</v>
      </c>
      <c r="J119">
        <v>0.49282889912950156</v>
      </c>
      <c r="K119">
        <v>0.37208423202336788</v>
      </c>
      <c r="L119">
        <v>0.76023817107986946</v>
      </c>
      <c r="N119">
        <v>2.0676580162784162</v>
      </c>
      <c r="O119">
        <v>1.2498424131294825</v>
      </c>
      <c r="P119">
        <v>1.8769012810233425</v>
      </c>
      <c r="R119">
        <v>2.2643266579325116</v>
      </c>
      <c r="S119">
        <v>1.1267651943741828</v>
      </c>
      <c r="T119">
        <v>2.2956641495630978</v>
      </c>
      <c r="V119">
        <v>0.81169014430565789</v>
      </c>
      <c r="W119">
        <v>0.32236417273781826</v>
      </c>
      <c r="X119">
        <v>0.90419649997281692</v>
      </c>
      <c r="Z119">
        <v>0.25281539492697308</v>
      </c>
      <c r="AA119">
        <v>0.7277774685191104</v>
      </c>
      <c r="AB119">
        <v>1.0990882100465911</v>
      </c>
      <c r="AD119">
        <v>0.63226249969517423</v>
      </c>
      <c r="AE119">
        <v>0.23830540635973249</v>
      </c>
      <c r="AF119">
        <v>0.45327521043486008</v>
      </c>
    </row>
    <row r="120" spans="1:32" x14ac:dyDescent="0.2">
      <c r="A120">
        <v>58.5</v>
      </c>
      <c r="B120">
        <v>1.0125364539433808</v>
      </c>
      <c r="C120">
        <v>0.81956121012837369</v>
      </c>
      <c r="D120">
        <v>1.3449691830797696</v>
      </c>
      <c r="F120">
        <v>1.241205884783928</v>
      </c>
      <c r="G120">
        <v>0.61015907622658627</v>
      </c>
      <c r="H120">
        <v>1.0907260035422794</v>
      </c>
      <c r="J120">
        <v>0.52496716409554123</v>
      </c>
      <c r="K120">
        <v>0.38172450775836997</v>
      </c>
      <c r="L120">
        <v>0.79666012766258976</v>
      </c>
      <c r="N120">
        <v>2.0253637113039775</v>
      </c>
      <c r="O120">
        <v>1.2336809200360257</v>
      </c>
      <c r="P120">
        <v>1.8962313336499546</v>
      </c>
      <c r="R120">
        <v>2.3189323252156018</v>
      </c>
      <c r="S120">
        <v>1.1292065015101349</v>
      </c>
      <c r="T120">
        <v>2.3360805526205408</v>
      </c>
      <c r="V120">
        <v>0.80713703189544295</v>
      </c>
      <c r="W120">
        <v>0.31511879143364774</v>
      </c>
      <c r="X120">
        <v>0.87635370788691036</v>
      </c>
      <c r="Z120">
        <v>0.2496551325100943</v>
      </c>
      <c r="AA120">
        <v>0.73495032851205</v>
      </c>
      <c r="AB120">
        <v>1.0739580975128209</v>
      </c>
      <c r="AD120">
        <v>0.60856308932754721</v>
      </c>
      <c r="AE120">
        <v>0.24299590083971398</v>
      </c>
      <c r="AF120">
        <v>0.46328769829972216</v>
      </c>
    </row>
    <row r="121" spans="1:32" x14ac:dyDescent="0.2">
      <c r="A121">
        <v>59</v>
      </c>
      <c r="B121">
        <v>1.0480527547511398</v>
      </c>
      <c r="C121">
        <v>0.820181070238308</v>
      </c>
      <c r="D121">
        <v>1.3225208693261505</v>
      </c>
      <c r="F121">
        <v>1.1800485990965026</v>
      </c>
      <c r="G121">
        <v>0.63766819140118469</v>
      </c>
      <c r="H121">
        <v>1.1152315421890886</v>
      </c>
      <c r="J121">
        <v>0.48755236741136554</v>
      </c>
      <c r="K121">
        <v>0.37123516242650811</v>
      </c>
      <c r="L121">
        <v>0.78349985103447539</v>
      </c>
      <c r="N121">
        <v>1.9895697491285074</v>
      </c>
      <c r="O121">
        <v>1.2709553457512972</v>
      </c>
      <c r="P121">
        <v>1.9082698013671142</v>
      </c>
      <c r="R121">
        <v>2.4597381123585027</v>
      </c>
      <c r="S121">
        <v>1.1430997216551948</v>
      </c>
      <c r="T121">
        <v>2.3343055503025236</v>
      </c>
      <c r="V121">
        <v>0.807239861858154</v>
      </c>
      <c r="W121">
        <v>0.31668620577654211</v>
      </c>
      <c r="X121">
        <v>0.90900196351233009</v>
      </c>
      <c r="Z121">
        <v>0.25501314051665835</v>
      </c>
      <c r="AA121">
        <v>0.73029069327608886</v>
      </c>
      <c r="AB121">
        <v>1.1208660928248548</v>
      </c>
      <c r="AD121">
        <v>0.58391930637887013</v>
      </c>
      <c r="AE121">
        <v>0.24193778047182976</v>
      </c>
      <c r="AF121">
        <v>0.44282103916650689</v>
      </c>
    </row>
    <row r="122" spans="1:32" x14ac:dyDescent="0.2">
      <c r="A122">
        <v>59.5</v>
      </c>
      <c r="B122">
        <v>0.95453126276647215</v>
      </c>
      <c r="C122">
        <v>0.82407586083893691</v>
      </c>
      <c r="D122">
        <v>1.3290305393320223</v>
      </c>
      <c r="F122">
        <v>1.1562625080680309</v>
      </c>
      <c r="G122">
        <v>0.63003779551449912</v>
      </c>
      <c r="H122">
        <v>1.1101840466424946</v>
      </c>
      <c r="J122">
        <v>0.47651433432640994</v>
      </c>
      <c r="K122">
        <v>0.3714478574428145</v>
      </c>
      <c r="L122">
        <v>0.79888905340869854</v>
      </c>
      <c r="N122">
        <v>2.1638859833828592</v>
      </c>
      <c r="O122">
        <v>1.2503053585207944</v>
      </c>
      <c r="P122">
        <v>1.9240613819476036</v>
      </c>
      <c r="R122">
        <v>2.2372350342589353</v>
      </c>
      <c r="S122">
        <v>1.148775412793847</v>
      </c>
      <c r="T122">
        <v>2.3850122256006849</v>
      </c>
      <c r="V122">
        <v>0.80894506681935852</v>
      </c>
      <c r="W122">
        <v>0.32129937206333764</v>
      </c>
      <c r="X122">
        <v>0.8931192900130196</v>
      </c>
      <c r="Z122">
        <v>0.25083289925381885</v>
      </c>
      <c r="AA122">
        <v>0.73044188232441576</v>
      </c>
      <c r="AB122">
        <v>1.12029157903092</v>
      </c>
      <c r="AD122">
        <v>0.57521843421961949</v>
      </c>
      <c r="AE122">
        <v>0.24238387740842277</v>
      </c>
      <c r="AF122">
        <v>0.44397819593525761</v>
      </c>
    </row>
    <row r="123" spans="1:32" x14ac:dyDescent="0.2">
      <c r="A123">
        <v>60</v>
      </c>
      <c r="B123">
        <v>0.98653351347050511</v>
      </c>
      <c r="C123">
        <v>0.82398527311056535</v>
      </c>
      <c r="D123">
        <v>1.3459108916390059</v>
      </c>
      <c r="F123">
        <v>1.1863011734869067</v>
      </c>
      <c r="G123">
        <v>0.63142749101152595</v>
      </c>
      <c r="H123">
        <v>1.1087145430140268</v>
      </c>
      <c r="J123">
        <v>0.51716218508036493</v>
      </c>
      <c r="K123">
        <v>0.37345101528944252</v>
      </c>
      <c r="L123">
        <v>0.79777254472291015</v>
      </c>
      <c r="N123">
        <v>2.026841751651522</v>
      </c>
      <c r="O123">
        <v>1.2289570731473751</v>
      </c>
      <c r="P123">
        <v>1.8818269021703307</v>
      </c>
      <c r="R123">
        <v>2.3127589175282774</v>
      </c>
      <c r="S123">
        <v>1.135979836506199</v>
      </c>
      <c r="T123">
        <v>2.3612687795004605</v>
      </c>
      <c r="V123">
        <v>0.82499539502150965</v>
      </c>
      <c r="W123">
        <v>0.32083882743415337</v>
      </c>
      <c r="X123">
        <v>0.9015681415719089</v>
      </c>
      <c r="Z123">
        <v>0.24833288972936185</v>
      </c>
      <c r="AA123">
        <v>0.7280176418814287</v>
      </c>
      <c r="AB123">
        <v>1.0834315133642838</v>
      </c>
      <c r="AD123">
        <v>0.60603680070199284</v>
      </c>
      <c r="AE123">
        <v>0.24682548430607032</v>
      </c>
      <c r="AF123">
        <v>0.43228495529469912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8C861-AAC4-E743-B502-9828E5EA2D3A}">
  <dimension ref="A1:U122"/>
  <sheetViews>
    <sheetView tabSelected="1" topLeftCell="M1" workbookViewId="0">
      <selection activeCell="T2" sqref="T2"/>
    </sheetView>
  </sheetViews>
  <sheetFormatPr baseColWidth="10" defaultRowHeight="15" x14ac:dyDescent="0.2"/>
  <cols>
    <col min="1" max="1" width="25.33203125" bestFit="1" customWidth="1"/>
    <col min="3" max="3" width="19.6640625" bestFit="1" customWidth="1"/>
    <col min="5" max="5" width="24.1640625" bestFit="1" customWidth="1"/>
    <col min="7" max="7" width="17.5" bestFit="1" customWidth="1"/>
    <col min="8" max="8" width="13" bestFit="1" customWidth="1"/>
    <col min="10" max="10" width="18.83203125" bestFit="1" customWidth="1"/>
    <col min="15" max="15" width="20" customWidth="1"/>
    <col min="16" max="16" width="12.5" bestFit="1" customWidth="1"/>
  </cols>
  <sheetData>
    <row r="1" spans="1:21" x14ac:dyDescent="0.2">
      <c r="A1" t="s">
        <v>12</v>
      </c>
      <c r="C1" t="s">
        <v>13</v>
      </c>
      <c r="E1" t="s">
        <v>14</v>
      </c>
      <c r="G1" t="s">
        <v>15</v>
      </c>
      <c r="J1" t="s">
        <v>23</v>
      </c>
      <c r="L1" t="s">
        <v>21</v>
      </c>
      <c r="O1" t="s">
        <v>24</v>
      </c>
      <c r="R1" t="s">
        <v>27</v>
      </c>
      <c r="T1" t="s">
        <v>21</v>
      </c>
    </row>
    <row r="2" spans="1:21" x14ac:dyDescent="0.2">
      <c r="A2">
        <f>SUM(Sheet1!R3:T3)*10^5</f>
        <v>588702.53252340888</v>
      </c>
      <c r="C2">
        <v>4900</v>
      </c>
      <c r="E2">
        <f>A2/$C$2</f>
        <v>120.14337398436916</v>
      </c>
      <c r="G2">
        <f>1/(6.022*10^22)</f>
        <v>1.6605778811026236E-23</v>
      </c>
      <c r="H2" t="s">
        <v>16</v>
      </c>
      <c r="J2">
        <f>E2*$G$7</f>
        <v>0.10621440368747069</v>
      </c>
      <c r="L2">
        <f>AVERAGE(J2:J122)</f>
        <v>0.10467178702607927</v>
      </c>
      <c r="M2" t="s">
        <v>22</v>
      </c>
      <c r="O2">
        <f>1/(6.022*10^22)</f>
        <v>1.6605778811026236E-23</v>
      </c>
      <c r="P2" t="s">
        <v>16</v>
      </c>
      <c r="R2">
        <f>E2*$O$7</f>
        <v>1.9950742939948383</v>
      </c>
      <c r="T2">
        <f>AVERAGE(R2:R122)</f>
        <v>1.9660986114152341</v>
      </c>
      <c r="U2" t="s">
        <v>28</v>
      </c>
    </row>
    <row r="3" spans="1:21" x14ac:dyDescent="0.2">
      <c r="A3">
        <f>SUM(Sheet1!R4:T4)*10^5</f>
        <v>580508.70844514901</v>
      </c>
      <c r="E3">
        <f t="shared" ref="E3:E66" si="0">A3/$C$2</f>
        <v>118.47116498880592</v>
      </c>
      <c r="G3">
        <f>10^12</f>
        <v>1000000000000</v>
      </c>
      <c r="H3" t="s">
        <v>17</v>
      </c>
      <c r="J3">
        <f t="shared" ref="J3:J66" si="1">E3*$G$7</f>
        <v>0.1047360643049952</v>
      </c>
      <c r="O3">
        <f>10^15</f>
        <v>1000000000000000</v>
      </c>
      <c r="P3" t="s">
        <v>25</v>
      </c>
      <c r="R3">
        <f t="shared" ref="R3:R66" si="2">E3*$O$7</f>
        <v>1.9673059612887069</v>
      </c>
    </row>
    <row r="4" spans="1:21" x14ac:dyDescent="0.2">
      <c r="A4">
        <f>SUM(Sheet1!R5:T5)*10^5</f>
        <v>570033.42061678297</v>
      </c>
      <c r="E4">
        <f t="shared" si="0"/>
        <v>116.33335114628224</v>
      </c>
      <c r="G4" s="2">
        <v>53238.319999999701</v>
      </c>
      <c r="H4" t="s">
        <v>18</v>
      </c>
      <c r="J4">
        <f t="shared" si="1"/>
        <v>0.10284610054795926</v>
      </c>
      <c r="O4">
        <f>10^6</f>
        <v>1000000</v>
      </c>
      <c r="P4" t="s">
        <v>29</v>
      </c>
      <c r="R4">
        <f t="shared" si="2"/>
        <v>1.9318058974806085</v>
      </c>
    </row>
    <row r="5" spans="1:21" x14ac:dyDescent="0.2">
      <c r="A5">
        <f>SUM(Sheet1!R6:T6)*10^5</f>
        <v>558944.69749175641</v>
      </c>
      <c r="E5">
        <f t="shared" si="0"/>
        <v>114.07034642688906</v>
      </c>
      <c r="G5">
        <v>1000</v>
      </c>
      <c r="H5" t="s">
        <v>19</v>
      </c>
      <c r="J5">
        <f t="shared" si="1"/>
        <v>0.10084546007282535</v>
      </c>
      <c r="R5">
        <f t="shared" si="2"/>
        <v>1.8942269416620567</v>
      </c>
    </row>
    <row r="6" spans="1:21" x14ac:dyDescent="0.2">
      <c r="A6">
        <f>SUM(Sheet1!R7:T7)*10^5</f>
        <v>561620.41291046178</v>
      </c>
      <c r="E6">
        <f t="shared" si="0"/>
        <v>114.61641079805342</v>
      </c>
      <c r="J6">
        <f t="shared" si="1"/>
        <v>0.10132821579737944</v>
      </c>
      <c r="O6" t="s">
        <v>26</v>
      </c>
      <c r="R6">
        <f t="shared" si="2"/>
        <v>1.9032947658261943</v>
      </c>
    </row>
    <row r="7" spans="1:21" x14ac:dyDescent="0.2">
      <c r="A7">
        <f>SUM(Sheet1!R8:T8)*10^5</f>
        <v>539946.47079948569</v>
      </c>
      <c r="E7">
        <f t="shared" si="0"/>
        <v>110.19315730601748</v>
      </c>
      <c r="G7">
        <f>G3*G4*G5*G2</f>
        <v>8.8406376619062942E-4</v>
      </c>
      <c r="H7" t="s">
        <v>20</v>
      </c>
      <c r="J7">
        <f t="shared" si="1"/>
        <v>9.7417777656394283E-2</v>
      </c>
      <c r="O7">
        <f>O2*O3*O4</f>
        <v>1.6605778811026237E-2</v>
      </c>
      <c r="R7">
        <f t="shared" si="2"/>
        <v>1.8298431967123461</v>
      </c>
    </row>
    <row r="8" spans="1:21" x14ac:dyDescent="0.2">
      <c r="A8">
        <f>SUM(Sheet1!R9:T9)*10^5</f>
        <v>554003.86106277909</v>
      </c>
      <c r="E8">
        <f t="shared" si="0"/>
        <v>113.06201246179165</v>
      </c>
      <c r="J8">
        <f t="shared" si="1"/>
        <v>9.9954028550063412E-2</v>
      </c>
      <c r="R8">
        <f t="shared" si="2"/>
        <v>1.8774827708700041</v>
      </c>
    </row>
    <row r="9" spans="1:21" x14ac:dyDescent="0.2">
      <c r="A9">
        <f>SUM(Sheet1!R10:T10)*10^5</f>
        <v>539607.87755797617</v>
      </c>
      <c r="E9">
        <f t="shared" si="0"/>
        <v>110.12405664448494</v>
      </c>
      <c r="J9">
        <f t="shared" si="1"/>
        <v>9.735668826531356E-2</v>
      </c>
      <c r="R9">
        <f t="shared" si="2"/>
        <v>1.8286957264112411</v>
      </c>
    </row>
    <row r="10" spans="1:21" x14ac:dyDescent="0.2">
      <c r="A10">
        <f>SUM(Sheet1!R11:T11)*10^5</f>
        <v>547026.41847723618</v>
      </c>
      <c r="E10">
        <f t="shared" si="0"/>
        <v>111.63804458719106</v>
      </c>
      <c r="J10">
        <f t="shared" si="1"/>
        <v>9.8695150147909541E-2</v>
      </c>
      <c r="R10">
        <f t="shared" si="2"/>
        <v>1.8538366753103797</v>
      </c>
    </row>
    <row r="11" spans="1:21" x14ac:dyDescent="0.2">
      <c r="A11">
        <f>SUM(Sheet1!R12:T12)*10^5</f>
        <v>549016.11805698823</v>
      </c>
      <c r="E11">
        <f t="shared" si="0"/>
        <v>112.04410572591597</v>
      </c>
      <c r="J11">
        <f t="shared" si="1"/>
        <v>9.9054134087514345E-2</v>
      </c>
      <c r="R11">
        <f t="shared" si="2"/>
        <v>1.860579636763799</v>
      </c>
    </row>
    <row r="12" spans="1:21" x14ac:dyDescent="0.2">
      <c r="A12">
        <f>SUM(Sheet1!R13:T13)*10^5</f>
        <v>552375.89075411414</v>
      </c>
      <c r="E12">
        <f t="shared" si="0"/>
        <v>112.72977362328859</v>
      </c>
      <c r="J12">
        <f t="shared" si="1"/>
        <v>9.9660308231221587E-2</v>
      </c>
      <c r="R12">
        <f t="shared" si="2"/>
        <v>1.8719656862053902</v>
      </c>
    </row>
    <row r="13" spans="1:21" x14ac:dyDescent="0.2">
      <c r="A13">
        <f>SUM(Sheet1!R14:T14)*10^5</f>
        <v>538927.21490310493</v>
      </c>
      <c r="E13">
        <f t="shared" si="0"/>
        <v>109.98514589859285</v>
      </c>
      <c r="J13">
        <f t="shared" si="1"/>
        <v>9.7233882308135858E-2</v>
      </c>
      <c r="R13">
        <f t="shared" si="2"/>
        <v>1.8263890052904823</v>
      </c>
    </row>
    <row r="14" spans="1:21" x14ac:dyDescent="0.2">
      <c r="A14">
        <f>SUM(Sheet1!R15:T15)*10^5</f>
        <v>550406.0012214568</v>
      </c>
      <c r="E14">
        <f t="shared" si="0"/>
        <v>112.32775535131772</v>
      </c>
      <c r="J14">
        <f t="shared" si="1"/>
        <v>9.9304898443625569E-2</v>
      </c>
      <c r="R14">
        <f t="shared" si="2"/>
        <v>1.8652898597030507</v>
      </c>
    </row>
    <row r="15" spans="1:21" x14ac:dyDescent="0.2">
      <c r="A15">
        <f>SUM(Sheet1!R16:T16)*10^5</f>
        <v>567712.52962333104</v>
      </c>
      <c r="E15">
        <f t="shared" si="0"/>
        <v>115.85969992312879</v>
      </c>
      <c r="J15">
        <f t="shared" si="1"/>
        <v>0.10242736266375742</v>
      </c>
      <c r="R15">
        <f t="shared" si="2"/>
        <v>1.9239405500353501</v>
      </c>
    </row>
    <row r="16" spans="1:21" x14ac:dyDescent="0.2">
      <c r="A16">
        <f>SUM(Sheet1!R17:T17)*10^5</f>
        <v>568881.55057492456</v>
      </c>
      <c r="E16">
        <f t="shared" si="0"/>
        <v>116.09827562753563</v>
      </c>
      <c r="J16">
        <f t="shared" si="1"/>
        <v>0.10263827879951691</v>
      </c>
      <c r="R16">
        <f t="shared" si="2"/>
        <v>1.927902285412415</v>
      </c>
    </row>
    <row r="17" spans="1:18" x14ac:dyDescent="0.2">
      <c r="A17">
        <f>SUM(Sheet1!R18:T18)*10^5</f>
        <v>576170.83798344701</v>
      </c>
      <c r="E17">
        <f t="shared" si="0"/>
        <v>117.58588530274429</v>
      </c>
      <c r="J17">
        <f t="shared" si="1"/>
        <v>0.10395342061160349</v>
      </c>
      <c r="R17">
        <f t="shared" si="2"/>
        <v>1.9526052026360725</v>
      </c>
    </row>
    <row r="18" spans="1:18" x14ac:dyDescent="0.2">
      <c r="A18">
        <f>SUM(Sheet1!R19:T19)*10^5</f>
        <v>577893.36260414252</v>
      </c>
      <c r="E18">
        <f t="shared" si="0"/>
        <v>117.93742093962092</v>
      </c>
      <c r="J18">
        <f t="shared" si="1"/>
        <v>0.10426420053069087</v>
      </c>
      <c r="R18">
        <f t="shared" si="2"/>
        <v>1.9584427256662391</v>
      </c>
    </row>
    <row r="19" spans="1:18" x14ac:dyDescent="0.2">
      <c r="A19">
        <f>SUM(Sheet1!R20:T20)*10^5</f>
        <v>570672.84251904406</v>
      </c>
      <c r="E19">
        <f t="shared" si="0"/>
        <v>116.46384541204981</v>
      </c>
      <c r="J19">
        <f t="shared" si="1"/>
        <v>0.10296146580002001</v>
      </c>
      <c r="R19">
        <f t="shared" si="2"/>
        <v>1.9339728563940519</v>
      </c>
    </row>
    <row r="20" spans="1:18" x14ac:dyDescent="0.2">
      <c r="A20">
        <f>SUM(Sheet1!R21:T21)*10^5</f>
        <v>566785.75188706187</v>
      </c>
      <c r="E20">
        <f t="shared" si="0"/>
        <v>115.67056160960446</v>
      </c>
      <c r="J20">
        <f t="shared" si="1"/>
        <v>0.10226015233397215</v>
      </c>
      <c r="R20">
        <f t="shared" si="2"/>
        <v>1.9207997610362748</v>
      </c>
    </row>
    <row r="21" spans="1:18" x14ac:dyDescent="0.2">
      <c r="A21">
        <f>SUM(Sheet1!R22:T22)*10^5</f>
        <v>565533.48402307671</v>
      </c>
      <c r="E21">
        <f t="shared" si="0"/>
        <v>115.41499673940341</v>
      </c>
      <c r="J21">
        <f t="shared" si="1"/>
        <v>0.10203421669231619</v>
      </c>
      <c r="R21">
        <f t="shared" si="2"/>
        <v>1.9165559073298473</v>
      </c>
    </row>
    <row r="22" spans="1:18" x14ac:dyDescent="0.2">
      <c r="A22">
        <f>SUM(Sheet1!R23:T23)*10^5</f>
        <v>560267.27775654942</v>
      </c>
      <c r="E22">
        <f t="shared" si="0"/>
        <v>114.34026076664274</v>
      </c>
      <c r="J22">
        <f t="shared" si="1"/>
        <v>0.10108408156057686</v>
      </c>
      <c r="R22">
        <f t="shared" si="2"/>
        <v>1.8987090794859307</v>
      </c>
    </row>
    <row r="23" spans="1:18" x14ac:dyDescent="0.2">
      <c r="A23">
        <f>SUM(Sheet1!R24:T24)*10^5</f>
        <v>542140.42900951928</v>
      </c>
      <c r="E23">
        <f t="shared" si="0"/>
        <v>110.64090387949373</v>
      </c>
      <c r="J23">
        <f t="shared" si="1"/>
        <v>9.7813614178440658E-2</v>
      </c>
      <c r="R23">
        <f t="shared" si="2"/>
        <v>1.8372783772748877</v>
      </c>
    </row>
    <row r="24" spans="1:18" x14ac:dyDescent="0.2">
      <c r="A24">
        <f>SUM(Sheet1!R25:T25)*10^5</f>
        <v>548296.61984406994</v>
      </c>
      <c r="E24">
        <f t="shared" si="0"/>
        <v>111.89726935593264</v>
      </c>
      <c r="J24">
        <f t="shared" si="1"/>
        <v>9.8924321373253118E-2</v>
      </c>
      <c r="R24">
        <f t="shared" si="2"/>
        <v>1.8581413044824417</v>
      </c>
    </row>
    <row r="25" spans="1:18" x14ac:dyDescent="0.2">
      <c r="A25">
        <f>SUM(Sheet1!R26:T26)*10^5</f>
        <v>547633.94560330606</v>
      </c>
      <c r="E25">
        <f t="shared" si="0"/>
        <v>111.76202971496042</v>
      </c>
      <c r="J25">
        <f t="shared" si="1"/>
        <v>9.880476090691695E-2</v>
      </c>
      <c r="R25">
        <f t="shared" si="2"/>
        <v>1.8558955449179744</v>
      </c>
    </row>
    <row r="26" spans="1:18" x14ac:dyDescent="0.2">
      <c r="A26">
        <f>SUM(Sheet1!R27:T27)*10^5</f>
        <v>540103.33404883463</v>
      </c>
      <c r="E26">
        <f t="shared" si="0"/>
        <v>110.22517021404788</v>
      </c>
      <c r="J26">
        <f t="shared" si="1"/>
        <v>9.744607910843435E-2</v>
      </c>
      <c r="R26">
        <f t="shared" si="2"/>
        <v>1.8303747959821965</v>
      </c>
    </row>
    <row r="27" spans="1:18" x14ac:dyDescent="0.2">
      <c r="A27">
        <f>SUM(Sheet1!R28:T28)*10^5</f>
        <v>545090.62238390907</v>
      </c>
      <c r="E27">
        <f t="shared" si="0"/>
        <v>111.24298415998145</v>
      </c>
      <c r="J27">
        <f t="shared" si="1"/>
        <v>9.8345891538757724E-2</v>
      </c>
      <c r="R27">
        <f t="shared" si="2"/>
        <v>1.8472763892391473</v>
      </c>
    </row>
    <row r="28" spans="1:18" x14ac:dyDescent="0.2">
      <c r="A28">
        <f>SUM(Sheet1!R29:T29)*10^5</f>
        <v>551563.13957954256</v>
      </c>
      <c r="E28">
        <f t="shared" si="0"/>
        <v>112.56390603664134</v>
      </c>
      <c r="J28">
        <f t="shared" si="1"/>
        <v>9.9513670707881266E-2</v>
      </c>
      <c r="R28">
        <f t="shared" si="2"/>
        <v>1.8692113257496072</v>
      </c>
    </row>
    <row r="29" spans="1:18" x14ac:dyDescent="0.2">
      <c r="A29">
        <f>SUM(Sheet1!R30:T30)*10^5</f>
        <v>543876.37329302251</v>
      </c>
      <c r="E29">
        <f t="shared" si="0"/>
        <v>110.99517822306582</v>
      </c>
      <c r="J29">
        <f t="shared" si="1"/>
        <v>9.8126815288883701E-2</v>
      </c>
      <c r="R29">
        <f t="shared" si="2"/>
        <v>1.8431613786626673</v>
      </c>
    </row>
    <row r="30" spans="1:18" x14ac:dyDescent="0.2">
      <c r="A30">
        <f>SUM(Sheet1!R31:T31)*10^5</f>
        <v>537314.48211560922</v>
      </c>
      <c r="E30">
        <f t="shared" si="0"/>
        <v>109.65601675828759</v>
      </c>
      <c r="J30">
        <f t="shared" si="1"/>
        <v>9.6942911160794509E-2</v>
      </c>
      <c r="R30">
        <f t="shared" si="2"/>
        <v>1.82092355958631</v>
      </c>
    </row>
    <row r="31" spans="1:18" x14ac:dyDescent="0.2">
      <c r="A31">
        <f>SUM(Sheet1!R32:T32)*10^5</f>
        <v>538173.68197848287</v>
      </c>
      <c r="E31">
        <f t="shared" si="0"/>
        <v>109.83136366907814</v>
      </c>
      <c r="J31">
        <f t="shared" si="1"/>
        <v>9.7097929011137896E-2</v>
      </c>
      <c r="R31">
        <f t="shared" si="2"/>
        <v>1.8238353316020948</v>
      </c>
    </row>
    <row r="32" spans="1:18" x14ac:dyDescent="0.2">
      <c r="A32">
        <f>SUM(Sheet1!R33:T33)*10^5</f>
        <v>547380.00419215322</v>
      </c>
      <c r="E32">
        <f t="shared" si="0"/>
        <v>111.71020493717413</v>
      </c>
      <c r="J32">
        <f t="shared" si="1"/>
        <v>9.8758944498685206E-2</v>
      </c>
      <c r="R32">
        <f t="shared" si="2"/>
        <v>1.8550349541211246</v>
      </c>
    </row>
    <row r="33" spans="1:18" x14ac:dyDescent="0.2">
      <c r="A33">
        <f>SUM(Sheet1!R34:T34)*10^5</f>
        <v>542177.91264683509</v>
      </c>
      <c r="E33">
        <f t="shared" si="0"/>
        <v>110.64855360139492</v>
      </c>
      <c r="J33">
        <f t="shared" si="1"/>
        <v>9.7820377020394922E-2</v>
      </c>
      <c r="R33">
        <f t="shared" si="2"/>
        <v>1.8374054068647447</v>
      </c>
    </row>
    <row r="34" spans="1:18" x14ac:dyDescent="0.2">
      <c r="A34">
        <f>SUM(Sheet1!R35:T35)*10^5</f>
        <v>551857.67390808533</v>
      </c>
      <c r="E34">
        <f t="shared" si="0"/>
        <v>112.62401508328271</v>
      </c>
      <c r="J34">
        <f t="shared" si="1"/>
        <v>9.9566810938037167E-2</v>
      </c>
      <c r="R34">
        <f t="shared" si="2"/>
        <v>1.8702094832826754</v>
      </c>
    </row>
    <row r="35" spans="1:18" x14ac:dyDescent="0.2">
      <c r="A35">
        <f>SUM(Sheet1!R36:T36)*10^5</f>
        <v>551065.80706132762</v>
      </c>
      <c r="E35">
        <f t="shared" si="0"/>
        <v>112.46240960435257</v>
      </c>
      <c r="J35">
        <f t="shared" si="1"/>
        <v>9.9423941389697151E-2</v>
      </c>
      <c r="R35">
        <f t="shared" si="2"/>
        <v>1.8675258984449115</v>
      </c>
    </row>
    <row r="36" spans="1:18" x14ac:dyDescent="0.2">
      <c r="A36">
        <f>SUM(Sheet1!R37:T37)*10^5</f>
        <v>554803.21314674011</v>
      </c>
      <c r="E36">
        <f t="shared" si="0"/>
        <v>113.22514554015105</v>
      </c>
      <c r="J36">
        <f t="shared" si="1"/>
        <v>0.10009824859370808</v>
      </c>
      <c r="R36">
        <f t="shared" si="2"/>
        <v>1.8801917226860021</v>
      </c>
    </row>
    <row r="37" spans="1:18" x14ac:dyDescent="0.2">
      <c r="A37">
        <f>SUM(Sheet1!R38:T38)*10^5</f>
        <v>555969.71240765147</v>
      </c>
      <c r="E37">
        <f t="shared" si="0"/>
        <v>113.46320661380642</v>
      </c>
      <c r="J37">
        <f t="shared" si="1"/>
        <v>0.10030870976306724</v>
      </c>
      <c r="R37">
        <f t="shared" si="2"/>
        <v>1.8841449122186387</v>
      </c>
    </row>
    <row r="38" spans="1:18" x14ac:dyDescent="0.2">
      <c r="A38">
        <f>SUM(Sheet1!R39:T39)*10^5</f>
        <v>570957.41030710703</v>
      </c>
      <c r="E38">
        <f t="shared" si="0"/>
        <v>116.52192047083817</v>
      </c>
      <c r="J38">
        <f t="shared" si="1"/>
        <v>0.10301280785521419</v>
      </c>
      <c r="R38">
        <f t="shared" si="2"/>
        <v>1.9349372379747287</v>
      </c>
    </row>
    <row r="39" spans="1:18" x14ac:dyDescent="0.2">
      <c r="A39">
        <f>SUM(Sheet1!R40:T40)*10^5</f>
        <v>564805.84322128503</v>
      </c>
      <c r="E39">
        <f t="shared" si="0"/>
        <v>115.26649861658878</v>
      </c>
      <c r="J39">
        <f t="shared" si="1"/>
        <v>0.10190293488258845</v>
      </c>
      <c r="R39">
        <f t="shared" si="2"/>
        <v>1.9140899803485349</v>
      </c>
    </row>
    <row r="40" spans="1:18" x14ac:dyDescent="0.2">
      <c r="A40">
        <f>SUM(Sheet1!R41:T41)*10^5</f>
        <v>567349.07946224359</v>
      </c>
      <c r="E40">
        <f t="shared" si="0"/>
        <v>115.78552642086603</v>
      </c>
      <c r="J40">
        <f t="shared" si="1"/>
        <v>0.10236178855799545</v>
      </c>
      <c r="R40">
        <f t="shared" si="2"/>
        <v>1.9227088412631357</v>
      </c>
    </row>
    <row r="41" spans="1:18" x14ac:dyDescent="0.2">
      <c r="A41">
        <f>SUM(Sheet1!R42:T42)*10^5</f>
        <v>565746.32082051609</v>
      </c>
      <c r="E41">
        <f t="shared" si="0"/>
        <v>115.45843282051349</v>
      </c>
      <c r="J41">
        <f t="shared" si="1"/>
        <v>0.10207261695777094</v>
      </c>
      <c r="R41">
        <f t="shared" si="2"/>
        <v>1.9172771972851792</v>
      </c>
    </row>
    <row r="42" spans="1:18" x14ac:dyDescent="0.2">
      <c r="A42">
        <f>SUM(Sheet1!R43:T43)*10^5</f>
        <v>569431.24504474958</v>
      </c>
      <c r="E42">
        <f t="shared" si="0"/>
        <v>116.21045817239788</v>
      </c>
      <c r="J42">
        <f t="shared" si="1"/>
        <v>0.10273745532262868</v>
      </c>
      <c r="R42">
        <f t="shared" si="2"/>
        <v>1.9297651639388556</v>
      </c>
    </row>
    <row r="43" spans="1:18" x14ac:dyDescent="0.2">
      <c r="A43">
        <f>SUM(Sheet1!R44:T44)*10^5</f>
        <v>564862.04697142309</v>
      </c>
      <c r="E43">
        <f t="shared" si="0"/>
        <v>115.27796876967818</v>
      </c>
      <c r="J43">
        <f t="shared" si="1"/>
        <v>0.10191307522932745</v>
      </c>
      <c r="R43">
        <f t="shared" si="2"/>
        <v>1.9142804511736662</v>
      </c>
    </row>
    <row r="44" spans="1:18" x14ac:dyDescent="0.2">
      <c r="A44">
        <f>SUM(Sheet1!R45:T45)*10^5</f>
        <v>560680.94233439013</v>
      </c>
      <c r="E44">
        <f t="shared" si="0"/>
        <v>114.42468210905921</v>
      </c>
      <c r="J44">
        <f t="shared" si="1"/>
        <v>0.10115871541050042</v>
      </c>
      <c r="R44">
        <f t="shared" si="2"/>
        <v>1.9001109616250282</v>
      </c>
    </row>
    <row r="45" spans="1:18" x14ac:dyDescent="0.2">
      <c r="A45">
        <f>SUM(Sheet1!R46:T46)*10^5</f>
        <v>571387.85720214504</v>
      </c>
      <c r="E45">
        <f t="shared" si="0"/>
        <v>116.60976677594796</v>
      </c>
      <c r="J45">
        <f t="shared" si="1"/>
        <v>0.10309046959055548</v>
      </c>
      <c r="R45">
        <f t="shared" si="2"/>
        <v>1.9363959942867479</v>
      </c>
    </row>
    <row r="46" spans="1:18" x14ac:dyDescent="0.2">
      <c r="A46">
        <f>SUM(Sheet1!R47:T47)*10^5</f>
        <v>560564.77739511256</v>
      </c>
      <c r="E46">
        <f t="shared" si="0"/>
        <v>114.40097497859441</v>
      </c>
      <c r="J46">
        <f t="shared" si="1"/>
        <v>0.10113775679545613</v>
      </c>
      <c r="R46">
        <f t="shared" si="2"/>
        <v>1.8997172862602858</v>
      </c>
    </row>
    <row r="47" spans="1:18" x14ac:dyDescent="0.2">
      <c r="A47">
        <f>SUM(Sheet1!R48:T48)*10^5</f>
        <v>572547.7557429187</v>
      </c>
      <c r="E47">
        <f t="shared" si="0"/>
        <v>116.84648076386095</v>
      </c>
      <c r="J47">
        <f t="shared" si="1"/>
        <v>0.10329973985021985</v>
      </c>
      <c r="R47">
        <f t="shared" si="2"/>
        <v>1.9403268144115071</v>
      </c>
    </row>
    <row r="48" spans="1:18" x14ac:dyDescent="0.2">
      <c r="A48">
        <f>SUM(Sheet1!R49:T49)*10^5</f>
        <v>576773.4898202843</v>
      </c>
      <c r="E48">
        <f t="shared" si="0"/>
        <v>117.70887547352741</v>
      </c>
      <c r="J48">
        <f t="shared" si="1"/>
        <v>0.10406215176519046</v>
      </c>
      <c r="R48">
        <f t="shared" si="2"/>
        <v>1.9546475502080274</v>
      </c>
    </row>
    <row r="49" spans="1:18" x14ac:dyDescent="0.2">
      <c r="A49">
        <f>SUM(Sheet1!R50:T50)*10^5</f>
        <v>573120.95453126961</v>
      </c>
      <c r="E49">
        <f t="shared" si="0"/>
        <v>116.96346010842237</v>
      </c>
      <c r="J49">
        <f t="shared" si="1"/>
        <v>0.10340315705013932</v>
      </c>
      <c r="R49">
        <f t="shared" si="2"/>
        <v>1.9422693475327528</v>
      </c>
    </row>
    <row r="50" spans="1:18" x14ac:dyDescent="0.2">
      <c r="A50">
        <f>SUM(Sheet1!R51:T51)*10^5</f>
        <v>570893.86287668173</v>
      </c>
      <c r="E50">
        <f t="shared" si="0"/>
        <v>116.50895160748607</v>
      </c>
      <c r="J50">
        <f t="shared" si="1"/>
        <v>0.10300134255303592</v>
      </c>
      <c r="R50">
        <f t="shared" si="2"/>
        <v>1.9347218798984733</v>
      </c>
    </row>
    <row r="51" spans="1:18" x14ac:dyDescent="0.2">
      <c r="A51">
        <f>SUM(Sheet1!R52:T52)*10^5</f>
        <v>577953.98786108871</v>
      </c>
      <c r="E51">
        <f t="shared" si="0"/>
        <v>117.94979344103851</v>
      </c>
      <c r="J51">
        <f t="shared" si="1"/>
        <v>0.1042751386108913</v>
      </c>
      <c r="R51">
        <f t="shared" si="2"/>
        <v>1.9586481806881186</v>
      </c>
    </row>
    <row r="52" spans="1:18" x14ac:dyDescent="0.2">
      <c r="A52">
        <f>SUM(Sheet1!R53:T53)*10^5</f>
        <v>575836.88562783366</v>
      </c>
      <c r="E52">
        <f t="shared" si="0"/>
        <v>117.51773176078238</v>
      </c>
      <c r="J52">
        <f t="shared" si="1"/>
        <v>0.10389316853461743</v>
      </c>
      <c r="R52">
        <f t="shared" si="2"/>
        <v>1.9514734599930652</v>
      </c>
    </row>
    <row r="53" spans="1:18" x14ac:dyDescent="0.2">
      <c r="A53">
        <f>SUM(Sheet1!R54:T54)*10^5</f>
        <v>584002.8809028595</v>
      </c>
      <c r="E53">
        <f t="shared" si="0"/>
        <v>119.18426140874683</v>
      </c>
      <c r="J53">
        <f t="shared" si="1"/>
        <v>0.10536648701166522</v>
      </c>
      <c r="R53">
        <f t="shared" si="2"/>
        <v>1.9791474827091802</v>
      </c>
    </row>
    <row r="54" spans="1:18" x14ac:dyDescent="0.2">
      <c r="A54">
        <f>SUM(Sheet1!R55:T55)*10^5</f>
        <v>593639.69702264469</v>
      </c>
      <c r="E54">
        <f t="shared" si="0"/>
        <v>121.15095857604993</v>
      </c>
      <c r="J54">
        <f t="shared" si="1"/>
        <v>0.10710517271634763</v>
      </c>
      <c r="R54">
        <f t="shared" si="2"/>
        <v>2.0118060208576876</v>
      </c>
    </row>
    <row r="55" spans="1:18" x14ac:dyDescent="0.2">
      <c r="A55">
        <f>SUM(Sheet1!R56:T56)*10^5</f>
        <v>587322.47896933195</v>
      </c>
      <c r="E55">
        <f t="shared" si="0"/>
        <v>119.86173040190448</v>
      </c>
      <c r="J55">
        <f t="shared" si="1"/>
        <v>0.10596541280123355</v>
      </c>
      <c r="R55">
        <f t="shared" si="2"/>
        <v>1.9903973829608848</v>
      </c>
    </row>
    <row r="56" spans="1:18" x14ac:dyDescent="0.2">
      <c r="A56">
        <f>SUM(Sheet1!R57:T57)*10^5</f>
        <v>592096.7023913319</v>
      </c>
      <c r="E56">
        <f t="shared" si="0"/>
        <v>120.83606171251671</v>
      </c>
      <c r="J56">
        <f t="shared" si="1"/>
        <v>0.10682678380921085</v>
      </c>
      <c r="R56">
        <f t="shared" si="2"/>
        <v>2.0065769131935687</v>
      </c>
    </row>
    <row r="57" spans="1:18" x14ac:dyDescent="0.2">
      <c r="A57">
        <f>SUM(Sheet1!R58:T58)*10^5</f>
        <v>588808.65838191041</v>
      </c>
      <c r="E57">
        <f t="shared" si="0"/>
        <v>120.16503232283885</v>
      </c>
      <c r="J57">
        <f t="shared" si="1"/>
        <v>0.10623355103974763</v>
      </c>
      <c r="R57">
        <f t="shared" si="2"/>
        <v>1.9954339475728804</v>
      </c>
    </row>
    <row r="58" spans="1:18" x14ac:dyDescent="0.2">
      <c r="A58">
        <f>SUM(Sheet1!R59:T59)*10^5</f>
        <v>601781.68294652959</v>
      </c>
      <c r="E58">
        <f t="shared" si="0"/>
        <v>122.81258835643462</v>
      </c>
      <c r="J58">
        <f t="shared" si="1"/>
        <v>0.10857415939800903</v>
      </c>
      <c r="R58">
        <f t="shared" si="2"/>
        <v>2.0393986774565693</v>
      </c>
    </row>
    <row r="59" spans="1:18" x14ac:dyDescent="0.2">
      <c r="A59">
        <f>SUM(Sheet1!R60:T60)*10^5</f>
        <v>598908.32357562019</v>
      </c>
      <c r="E59">
        <f t="shared" si="0"/>
        <v>122.22618848482044</v>
      </c>
      <c r="J59">
        <f t="shared" si="1"/>
        <v>0.1080557445190161</v>
      </c>
      <c r="R59">
        <f t="shared" si="2"/>
        <v>2.0296610508937305</v>
      </c>
    </row>
    <row r="60" spans="1:18" x14ac:dyDescent="0.2">
      <c r="A60">
        <f>SUM(Sheet1!R61:T61)*10^5</f>
        <v>596406.39626091532</v>
      </c>
      <c r="E60">
        <f t="shared" si="0"/>
        <v>121.71559107365619</v>
      </c>
      <c r="J60">
        <f t="shared" si="1"/>
        <v>0.10760434384869505</v>
      </c>
      <c r="R60">
        <f t="shared" si="2"/>
        <v>2.0211821832224541</v>
      </c>
    </row>
    <row r="61" spans="1:18" x14ac:dyDescent="0.2">
      <c r="A61">
        <f>SUM(Sheet1!R62:T62)*10^5</f>
        <v>589072.05687719036</v>
      </c>
      <c r="E61">
        <f t="shared" si="0"/>
        <v>120.21878711779395</v>
      </c>
      <c r="J61">
        <f t="shared" si="1"/>
        <v>0.10628107370622644</v>
      </c>
      <c r="R61">
        <f t="shared" si="2"/>
        <v>1.9963265878079368</v>
      </c>
    </row>
    <row r="62" spans="1:18" x14ac:dyDescent="0.2">
      <c r="A62">
        <f>SUM(Sheet1!R63:T63)*10^5</f>
        <v>603974.78239985788</v>
      </c>
      <c r="E62">
        <f t="shared" si="0"/>
        <v>123.26015967344038</v>
      </c>
      <c r="J62">
        <f t="shared" si="1"/>
        <v>0.10896984098216005</v>
      </c>
      <c r="R62">
        <f t="shared" si="2"/>
        <v>2.0468309477489268</v>
      </c>
    </row>
    <row r="63" spans="1:18" x14ac:dyDescent="0.2">
      <c r="A63">
        <f>SUM(Sheet1!R64:T64)*10^5</f>
        <v>598177.7589328012</v>
      </c>
      <c r="E63">
        <f t="shared" si="0"/>
        <v>122.07709365975535</v>
      </c>
      <c r="J63">
        <f t="shared" si="1"/>
        <v>0.10792393518644952</v>
      </c>
      <c r="R63">
        <f t="shared" si="2"/>
        <v>2.0271852152068308</v>
      </c>
    </row>
    <row r="64" spans="1:18" x14ac:dyDescent="0.2">
      <c r="A64">
        <f>SUM(Sheet1!R65:T65)*10^5</f>
        <v>600861.87930148421</v>
      </c>
      <c r="E64">
        <f t="shared" si="0"/>
        <v>122.62487332683351</v>
      </c>
      <c r="J64">
        <f t="shared" si="1"/>
        <v>0.10840820734196929</v>
      </c>
      <c r="R64">
        <f t="shared" si="2"/>
        <v>2.0362815231955085</v>
      </c>
    </row>
    <row r="65" spans="1:18" x14ac:dyDescent="0.2">
      <c r="A65">
        <f>SUM(Sheet1!R66:T66)*10^5</f>
        <v>603101.17685226176</v>
      </c>
      <c r="E65">
        <f t="shared" si="0"/>
        <v>123.0818728269922</v>
      </c>
      <c r="J65">
        <f t="shared" si="1"/>
        <v>0.10881222404122681</v>
      </c>
      <c r="R65">
        <f t="shared" si="2"/>
        <v>2.0438703558118929</v>
      </c>
    </row>
    <row r="66" spans="1:18" x14ac:dyDescent="0.2">
      <c r="A66">
        <f>SUM(Sheet1!R67:T67)*10^5</f>
        <v>600575.10035111732</v>
      </c>
      <c r="E66">
        <f t="shared" si="0"/>
        <v>122.56634701043211</v>
      </c>
      <c r="J66">
        <f t="shared" si="1"/>
        <v>0.10835646634627021</v>
      </c>
      <c r="R66">
        <f t="shared" si="2"/>
        <v>2.0353096481307227</v>
      </c>
    </row>
    <row r="67" spans="1:18" x14ac:dyDescent="0.2">
      <c r="A67">
        <f>SUM(Sheet1!R68:T68)*10^5</f>
        <v>605144.73466385074</v>
      </c>
      <c r="E67">
        <f t="shared" ref="E67:E122" si="3">A67/$C$2</f>
        <v>123.4989254416022</v>
      </c>
      <c r="J67">
        <f t="shared" ref="J67:J122" si="4">E67*$G$7</f>
        <v>0.10918092514639859</v>
      </c>
      <c r="R67">
        <f t="shared" ref="R67:R123" si="5">E67*$O$7</f>
        <v>2.0507958392826668</v>
      </c>
    </row>
    <row r="68" spans="1:18" x14ac:dyDescent="0.2">
      <c r="A68">
        <f>SUM(Sheet1!R69:T69)*10^5</f>
        <v>595995.08760892646</v>
      </c>
      <c r="E68">
        <f t="shared" si="3"/>
        <v>121.63165053243397</v>
      </c>
      <c r="J68">
        <f t="shared" si="4"/>
        <v>0.10753013505768605</v>
      </c>
      <c r="R68">
        <f t="shared" si="5"/>
        <v>2.0197882851616402</v>
      </c>
    </row>
    <row r="69" spans="1:18" x14ac:dyDescent="0.2">
      <c r="A69">
        <f>SUM(Sheet1!R70:T70)*10^5</f>
        <v>607612.71728393598</v>
      </c>
      <c r="E69">
        <f t="shared" si="3"/>
        <v>124.00259536406857</v>
      </c>
      <c r="J69">
        <f t="shared" si="4"/>
        <v>0.10962620147497114</v>
      </c>
      <c r="R69">
        <f t="shared" si="5"/>
        <v>2.0591596706089104</v>
      </c>
    </row>
    <row r="70" spans="1:18" x14ac:dyDescent="0.2">
      <c r="A70">
        <f>SUM(Sheet1!R71:T71)*10^5</f>
        <v>609495.67426592542</v>
      </c>
      <c r="E70">
        <f t="shared" si="3"/>
        <v>124.38687229916846</v>
      </c>
      <c r="J70">
        <f t="shared" si="4"/>
        <v>0.10996592678947574</v>
      </c>
      <c r="R70">
        <f t="shared" si="5"/>
        <v>2.0655408883953581</v>
      </c>
    </row>
    <row r="71" spans="1:18" x14ac:dyDescent="0.2">
      <c r="A71">
        <f>SUM(Sheet1!R72:T72)*10^5</f>
        <v>602310.16829459067</v>
      </c>
      <c r="E71">
        <f t="shared" si="3"/>
        <v>122.92044250910014</v>
      </c>
      <c r="J71">
        <f t="shared" si="4"/>
        <v>0.10866950934641381</v>
      </c>
      <c r="R71">
        <f t="shared" si="5"/>
        <v>2.0411896796595839</v>
      </c>
    </row>
    <row r="72" spans="1:18" x14ac:dyDescent="0.2">
      <c r="A72">
        <f>SUM(Sheet1!R73:T73)*10^5</f>
        <v>607126.21116850176</v>
      </c>
      <c r="E72">
        <f t="shared" si="3"/>
        <v>123.90330840173505</v>
      </c>
      <c r="J72">
        <f t="shared" si="4"/>
        <v>0.10953842546911695</v>
      </c>
      <c r="R72">
        <f t="shared" si="5"/>
        <v>2.0575109332735808</v>
      </c>
    </row>
    <row r="73" spans="1:18" x14ac:dyDescent="0.2">
      <c r="A73">
        <f>SUM(Sheet1!R74:T74)*10^5</f>
        <v>600858.47174133069</v>
      </c>
      <c r="E73">
        <f t="shared" si="3"/>
        <v>122.62417790639402</v>
      </c>
      <c r="J73">
        <f t="shared" si="4"/>
        <v>0.10840759254595647</v>
      </c>
      <c r="R73">
        <f t="shared" si="5"/>
        <v>2.0362699751975097</v>
      </c>
    </row>
    <row r="74" spans="1:18" x14ac:dyDescent="0.2">
      <c r="A74">
        <f>SUM(Sheet1!R75:T75)*10^5</f>
        <v>609577.80362813454</v>
      </c>
      <c r="E74">
        <f t="shared" si="3"/>
        <v>124.40363339349685</v>
      </c>
      <c r="J74">
        <f t="shared" si="4"/>
        <v>0.10998074466565318</v>
      </c>
      <c r="R74">
        <f t="shared" si="5"/>
        <v>2.0658192194204061</v>
      </c>
    </row>
    <row r="75" spans="1:18" x14ac:dyDescent="0.2">
      <c r="A75">
        <f>SUM(Sheet1!R76:T76)*10^5</f>
        <v>609271.84312734415</v>
      </c>
      <c r="E75">
        <f t="shared" si="3"/>
        <v>124.3411924749682</v>
      </c>
      <c r="J75">
        <f t="shared" si="4"/>
        <v>0.10992554291205434</v>
      </c>
      <c r="R75">
        <f t="shared" si="5"/>
        <v>2.0647823393385618</v>
      </c>
    </row>
    <row r="76" spans="1:18" x14ac:dyDescent="0.2">
      <c r="A76">
        <f>SUM(Sheet1!R77:T77)*10^5</f>
        <v>595975.83671404677</v>
      </c>
      <c r="E76">
        <f t="shared" si="3"/>
        <v>121.62772177837689</v>
      </c>
      <c r="J76">
        <f t="shared" si="4"/>
        <v>0.10752666178857792</v>
      </c>
      <c r="R76">
        <f t="shared" si="5"/>
        <v>2.0197230451407653</v>
      </c>
    </row>
    <row r="77" spans="1:18" x14ac:dyDescent="0.2">
      <c r="A77">
        <f>SUM(Sheet1!R78:T78)*10^5</f>
        <v>587412.41511609149</v>
      </c>
      <c r="E77">
        <f t="shared" si="3"/>
        <v>119.88008471756969</v>
      </c>
      <c r="J77">
        <f t="shared" si="4"/>
        <v>0.10598163918666638</v>
      </c>
      <c r="R77">
        <f t="shared" si="5"/>
        <v>1.9907021706670489</v>
      </c>
    </row>
    <row r="78" spans="1:18" x14ac:dyDescent="0.2">
      <c r="A78">
        <f>SUM(Sheet1!R79:T79)*10^5</f>
        <v>592239.58468195086</v>
      </c>
      <c r="E78">
        <f t="shared" si="3"/>
        <v>120.86522136366344</v>
      </c>
      <c r="J78">
        <f t="shared" si="4"/>
        <v>0.10685256280022443</v>
      </c>
      <c r="R78">
        <f t="shared" si="5"/>
        <v>2.0070611319107181</v>
      </c>
    </row>
    <row r="79" spans="1:18" x14ac:dyDescent="0.2">
      <c r="A79">
        <f>SUM(Sheet1!R80:T80)*10^5</f>
        <v>593684.64315354906</v>
      </c>
      <c r="E79">
        <f t="shared" si="3"/>
        <v>121.16013125582634</v>
      </c>
      <c r="J79">
        <f t="shared" si="4"/>
        <v>0.10711328195017683</v>
      </c>
      <c r="R79">
        <f t="shared" si="5"/>
        <v>2.011958340349159</v>
      </c>
    </row>
    <row r="80" spans="1:18" x14ac:dyDescent="0.2">
      <c r="A80">
        <f>SUM(Sheet1!R81:T81)*10^5</f>
        <v>587462.84263922996</v>
      </c>
      <c r="E80">
        <f t="shared" si="3"/>
        <v>119.89037604882245</v>
      </c>
      <c r="J80">
        <f t="shared" si="4"/>
        <v>0.1059907373797328</v>
      </c>
      <c r="R80">
        <f t="shared" si="5"/>
        <v>1.9908730662375034</v>
      </c>
    </row>
    <row r="81" spans="1:18" x14ac:dyDescent="0.2">
      <c r="A81">
        <f>SUM(Sheet1!R82:T82)*10^5</f>
        <v>599945.47420116712</v>
      </c>
      <c r="E81">
        <f t="shared" si="3"/>
        <v>122.43785187778921</v>
      </c>
      <c r="J81">
        <f t="shared" si="4"/>
        <v>0.10824286845536876</v>
      </c>
      <c r="R81">
        <f t="shared" si="5"/>
        <v>2.0331758863797611</v>
      </c>
    </row>
    <row r="82" spans="1:18" x14ac:dyDescent="0.2">
      <c r="A82">
        <f>SUM(Sheet1!R83:T83)*10^5</f>
        <v>595296.25841201353</v>
      </c>
      <c r="E82">
        <f t="shared" si="3"/>
        <v>121.48903232898235</v>
      </c>
      <c r="J82">
        <f t="shared" si="4"/>
        <v>0.10740405147161527</v>
      </c>
      <c r="R82">
        <f t="shared" si="5"/>
        <v>2.0174199988206967</v>
      </c>
    </row>
    <row r="83" spans="1:18" x14ac:dyDescent="0.2">
      <c r="A83">
        <f>SUM(Sheet1!R84:T84)*10^5</f>
        <v>607271.76700044982</v>
      </c>
      <c r="E83">
        <f t="shared" si="3"/>
        <v>123.93301367356119</v>
      </c>
      <c r="J83">
        <f t="shared" si="4"/>
        <v>0.10956468682360328</v>
      </c>
      <c r="R83">
        <f t="shared" si="5"/>
        <v>2.0580042124470475</v>
      </c>
    </row>
    <row r="84" spans="1:18" x14ac:dyDescent="0.2">
      <c r="A84">
        <f>SUM(Sheet1!R85:T85)*10^5</f>
        <v>605360.93802894244</v>
      </c>
      <c r="E84">
        <f t="shared" si="3"/>
        <v>123.5430485773352</v>
      </c>
      <c r="J84">
        <f t="shared" si="4"/>
        <v>0.10921993281195083</v>
      </c>
      <c r="R84">
        <f t="shared" si="5"/>
        <v>2.0515285383150981</v>
      </c>
    </row>
    <row r="85" spans="1:18" x14ac:dyDescent="0.2">
      <c r="A85">
        <f>SUM(Sheet1!R86:T86)*10^5</f>
        <v>609590.59806499386</v>
      </c>
      <c r="E85">
        <f t="shared" si="3"/>
        <v>124.40624450305997</v>
      </c>
      <c r="J85">
        <f t="shared" si="4"/>
        <v>0.10998305305300748</v>
      </c>
      <c r="R85">
        <f t="shared" si="5"/>
        <v>2.0658625789282623</v>
      </c>
    </row>
    <row r="86" spans="1:18" x14ac:dyDescent="0.2">
      <c r="A86">
        <f>SUM(Sheet1!R87:T87)*10^5</f>
        <v>624458.03506198828</v>
      </c>
      <c r="E86">
        <f t="shared" si="3"/>
        <v>127.44041531877312</v>
      </c>
      <c r="J86">
        <f t="shared" si="4"/>
        <v>0.11266545353161254</v>
      </c>
      <c r="R86">
        <f t="shared" si="5"/>
        <v>2.1162473483688662</v>
      </c>
    </row>
    <row r="87" spans="1:18" x14ac:dyDescent="0.2">
      <c r="A87">
        <f>SUM(Sheet1!R88:T88)*10^5</f>
        <v>620725.36345996719</v>
      </c>
      <c r="E87">
        <f t="shared" si="3"/>
        <v>126.67864560407494</v>
      </c>
      <c r="J87">
        <f t="shared" si="4"/>
        <v>0.11199200052866652</v>
      </c>
      <c r="R87">
        <f t="shared" si="5"/>
        <v>2.1035975689816495</v>
      </c>
    </row>
    <row r="88" spans="1:18" x14ac:dyDescent="0.2">
      <c r="A88">
        <f>SUM(Sheet1!R89:T89)*10^5</f>
        <v>620288.15238634753</v>
      </c>
      <c r="E88">
        <f t="shared" si="3"/>
        <v>126.58941885435664</v>
      </c>
      <c r="J88">
        <f t="shared" si="4"/>
        <v>0.1119131183922656</v>
      </c>
      <c r="R88">
        <f t="shared" si="5"/>
        <v>2.1021158893118006</v>
      </c>
    </row>
    <row r="89" spans="1:18" x14ac:dyDescent="0.2">
      <c r="A89">
        <f>SUM(Sheet1!R90:T90)*10^5</f>
        <v>620552.97537179012</v>
      </c>
      <c r="E89">
        <f t="shared" si="3"/>
        <v>126.64346436158982</v>
      </c>
      <c r="J89">
        <f t="shared" si="4"/>
        <v>0.11196089806693585</v>
      </c>
      <c r="R89">
        <f t="shared" si="5"/>
        <v>2.1030133570506448</v>
      </c>
    </row>
    <row r="90" spans="1:18" x14ac:dyDescent="0.2">
      <c r="A90">
        <f>SUM(Sheet1!R91:T91)*10^5</f>
        <v>621001.39562897675</v>
      </c>
      <c r="E90">
        <f t="shared" si="3"/>
        <v>126.73497869979117</v>
      </c>
      <c r="J90">
        <f t="shared" si="4"/>
        <v>0.11204180257742659</v>
      </c>
      <c r="R90">
        <f t="shared" si="5"/>
        <v>2.1045330239088536</v>
      </c>
    </row>
    <row r="91" spans="1:18" x14ac:dyDescent="0.2">
      <c r="A91">
        <f>SUM(Sheet1!R92:T92)*10^5</f>
        <v>609098.35779559542</v>
      </c>
      <c r="E91">
        <f t="shared" si="3"/>
        <v>124.30578730522356</v>
      </c>
      <c r="J91">
        <f t="shared" si="4"/>
        <v>0.10989424248434727</v>
      </c>
      <c r="R91">
        <f t="shared" si="5"/>
        <v>2.0641944089210158</v>
      </c>
    </row>
    <row r="92" spans="1:18" x14ac:dyDescent="0.2">
      <c r="A92">
        <f>SUM(Sheet1!R93:T93)*10^5</f>
        <v>601734.04306318052</v>
      </c>
      <c r="E92">
        <f t="shared" si="3"/>
        <v>122.80286593126134</v>
      </c>
      <c r="J92">
        <f t="shared" si="4"/>
        <v>0.10856556415419383</v>
      </c>
      <c r="R92">
        <f t="shared" si="5"/>
        <v>2.0392372290146352</v>
      </c>
    </row>
    <row r="93" spans="1:18" x14ac:dyDescent="0.2">
      <c r="A93">
        <f>SUM(Sheet1!R94:T94)*10^5</f>
        <v>597770.96992456005</v>
      </c>
      <c r="E93">
        <f t="shared" si="3"/>
        <v>121.99407549480817</v>
      </c>
      <c r="J93">
        <f t="shared" si="4"/>
        <v>0.10785054183488409</v>
      </c>
      <c r="R93">
        <f t="shared" si="5"/>
        <v>2.0258066339224206</v>
      </c>
    </row>
    <row r="94" spans="1:18" x14ac:dyDescent="0.2">
      <c r="A94">
        <f>SUM(Sheet1!R95:T95)*10^5</f>
        <v>609372.68711260147</v>
      </c>
      <c r="E94">
        <f t="shared" si="3"/>
        <v>124.36177288012274</v>
      </c>
      <c r="J94">
        <f t="shared" si="4"/>
        <v>0.10994373730254499</v>
      </c>
      <c r="R94">
        <f t="shared" si="5"/>
        <v>2.0651240929943997</v>
      </c>
    </row>
    <row r="95" spans="1:18" x14ac:dyDescent="0.2">
      <c r="A95">
        <f>SUM(Sheet1!R96:T96)*10^5</f>
        <v>599524.12454723963</v>
      </c>
      <c r="E95">
        <f t="shared" si="3"/>
        <v>122.35186215249789</v>
      </c>
      <c r="J95">
        <f t="shared" si="4"/>
        <v>0.10816684805497401</v>
      </c>
      <c r="R95">
        <f t="shared" si="5"/>
        <v>2.0317479600215527</v>
      </c>
    </row>
    <row r="96" spans="1:18" x14ac:dyDescent="0.2">
      <c r="A96">
        <f>SUM(Sheet1!R97:T97)*10^5</f>
        <v>588048.11732250487</v>
      </c>
      <c r="E96">
        <f t="shared" si="3"/>
        <v>120.00981986173569</v>
      </c>
      <c r="J96">
        <f t="shared" si="4"/>
        <v>0.10609633332682505</v>
      </c>
      <c r="R96">
        <f t="shared" si="5"/>
        <v>1.9928565237750862</v>
      </c>
    </row>
    <row r="97" spans="1:18" x14ac:dyDescent="0.2">
      <c r="A97">
        <f>SUM(Sheet1!R98:T98)*10^5</f>
        <v>583489.0423820978</v>
      </c>
      <c r="E97">
        <f t="shared" si="3"/>
        <v>119.07939640450975</v>
      </c>
      <c r="J97">
        <f t="shared" si="4"/>
        <v>0.10527377966107779</v>
      </c>
      <c r="R97">
        <f t="shared" si="5"/>
        <v>1.977406117643802</v>
      </c>
    </row>
    <row r="98" spans="1:18" x14ac:dyDescent="0.2">
      <c r="A98">
        <f>SUM(Sheet1!R99:T99)*10^5</f>
        <v>591762.40916294896</v>
      </c>
      <c r="E98">
        <f t="shared" si="3"/>
        <v>120.76783860468346</v>
      </c>
      <c r="J98">
        <f t="shared" si="4"/>
        <v>0.10676647023155855</v>
      </c>
      <c r="R98">
        <f t="shared" si="5"/>
        <v>2.005444015355089</v>
      </c>
    </row>
    <row r="99" spans="1:18" x14ac:dyDescent="0.2">
      <c r="A99">
        <f>SUM(Sheet1!R100:T100)*10^5</f>
        <v>591152.88879299571</v>
      </c>
      <c r="E99">
        <f t="shared" si="3"/>
        <v>120.64344669244811</v>
      </c>
      <c r="J99">
        <f t="shared" si="4"/>
        <v>0.1066564998491441</v>
      </c>
      <c r="R99">
        <f t="shared" si="5"/>
        <v>2.0033783907746283</v>
      </c>
    </row>
    <row r="100" spans="1:18" x14ac:dyDescent="0.2">
      <c r="A100">
        <f>SUM(Sheet1!R101:T101)*10^5</f>
        <v>582335.71631943621</v>
      </c>
      <c r="E100">
        <f t="shared" si="3"/>
        <v>118.84402373866045</v>
      </c>
      <c r="J100">
        <f t="shared" si="4"/>
        <v>0.10506569521564872</v>
      </c>
      <c r="R100">
        <f t="shared" si="5"/>
        <v>1.973497571216547</v>
      </c>
    </row>
    <row r="101" spans="1:18" x14ac:dyDescent="0.2">
      <c r="A101">
        <f>SUM(Sheet1!R102:T102)*10^5</f>
        <v>587995.97139635053</v>
      </c>
      <c r="E101">
        <f t="shared" si="3"/>
        <v>119.99917783598991</v>
      </c>
      <c r="J101">
        <f t="shared" si="4"/>
        <v>0.10608692509746434</v>
      </c>
      <c r="R101">
        <f t="shared" si="5"/>
        <v>1.9926798046494505</v>
      </c>
    </row>
    <row r="102" spans="1:18" x14ac:dyDescent="0.2">
      <c r="A102">
        <f>SUM(Sheet1!R103:T103)*10^5</f>
        <v>594766.64141725271</v>
      </c>
      <c r="E102">
        <f t="shared" si="3"/>
        <v>121.38094722801075</v>
      </c>
      <c r="J102">
        <f t="shared" si="4"/>
        <v>0.10730849735018123</v>
      </c>
      <c r="R102">
        <f t="shared" si="5"/>
        <v>2.0156251615411951</v>
      </c>
    </row>
    <row r="103" spans="1:18" x14ac:dyDescent="0.2">
      <c r="A103">
        <f>SUM(Sheet1!R104:T104)*10^5</f>
        <v>588799.89135774563</v>
      </c>
      <c r="E103">
        <f t="shared" si="3"/>
        <v>120.1632431342338</v>
      </c>
      <c r="J103">
        <f t="shared" si="4"/>
        <v>0.10623196928293102</v>
      </c>
      <c r="R103">
        <f t="shared" si="5"/>
        <v>1.9954042367026537</v>
      </c>
    </row>
    <row r="104" spans="1:18" x14ac:dyDescent="0.2">
      <c r="A104">
        <f>SUM(Sheet1!R105:T105)*10^5</f>
        <v>597180.98430519539</v>
      </c>
      <c r="E104">
        <f t="shared" si="3"/>
        <v>121.8736702663664</v>
      </c>
      <c r="J104">
        <f t="shared" si="4"/>
        <v>0.10774409593515881</v>
      </c>
      <c r="R104">
        <f t="shared" si="5"/>
        <v>2.0238072113312255</v>
      </c>
    </row>
    <row r="105" spans="1:18" x14ac:dyDescent="0.2">
      <c r="A105">
        <f>SUM(Sheet1!R106:T106)*10^5</f>
        <v>584993.71593537962</v>
      </c>
      <c r="E105">
        <f t="shared" si="3"/>
        <v>119.38647263987339</v>
      </c>
      <c r="J105">
        <f t="shared" si="4"/>
        <v>0.105545254634221</v>
      </c>
      <c r="R105">
        <f t="shared" si="5"/>
        <v>1.9825053576863731</v>
      </c>
    </row>
    <row r="106" spans="1:18" x14ac:dyDescent="0.2">
      <c r="A106">
        <f>SUM(Sheet1!R107:T107)*10^5</f>
        <v>582645.05545305589</v>
      </c>
      <c r="E106">
        <f t="shared" si="3"/>
        <v>118.90715417409304</v>
      </c>
      <c r="J106">
        <f t="shared" si="4"/>
        <v>0.10512150654615851</v>
      </c>
      <c r="R106">
        <f t="shared" si="5"/>
        <v>1.9745459012635842</v>
      </c>
    </row>
    <row r="107" spans="1:18" x14ac:dyDescent="0.2">
      <c r="A107">
        <f>SUM(Sheet1!R108:T108)*10^5</f>
        <v>600320.20936221175</v>
      </c>
      <c r="E107">
        <f t="shared" si="3"/>
        <v>122.51432844126771</v>
      </c>
      <c r="J107">
        <f t="shared" si="4"/>
        <v>0.10831047861410288</v>
      </c>
      <c r="R107">
        <f t="shared" si="5"/>
        <v>2.0344458392771125</v>
      </c>
    </row>
    <row r="108" spans="1:18" x14ac:dyDescent="0.2">
      <c r="A108">
        <f>SUM(Sheet1!R109:T109)*10^5</f>
        <v>593464.29953217576</v>
      </c>
      <c r="E108">
        <f t="shared" si="3"/>
        <v>121.11516316983179</v>
      </c>
      <c r="J108">
        <f t="shared" si="4"/>
        <v>0.1070735272947141</v>
      </c>
      <c r="R108">
        <f t="shared" si="5"/>
        <v>2.0112116102595778</v>
      </c>
    </row>
    <row r="109" spans="1:18" x14ac:dyDescent="0.2">
      <c r="A109">
        <f>SUM(Sheet1!R110:T110)*10^5</f>
        <v>582237.32286513213</v>
      </c>
      <c r="E109">
        <f t="shared" si="3"/>
        <v>118.8239434418637</v>
      </c>
      <c r="J109">
        <f t="shared" si="4"/>
        <v>0.10504794295283637</v>
      </c>
      <c r="R109">
        <f t="shared" si="5"/>
        <v>1.9731641222494802</v>
      </c>
    </row>
    <row r="110" spans="1:18" x14ac:dyDescent="0.2">
      <c r="A110">
        <f>SUM(Sheet1!R111:T111)*10^5</f>
        <v>594378.54255767877</v>
      </c>
      <c r="E110">
        <f t="shared" si="3"/>
        <v>121.30174337911812</v>
      </c>
      <c r="J110">
        <f t="shared" si="4"/>
        <v>0.10723847609723242</v>
      </c>
      <c r="R110">
        <f t="shared" si="5"/>
        <v>2.0143099199455019</v>
      </c>
    </row>
    <row r="111" spans="1:18" x14ac:dyDescent="0.2">
      <c r="A111">
        <f>SUM(Sheet1!R112:T112)*10^5</f>
        <v>576238.20885016862</v>
      </c>
      <c r="E111">
        <f t="shared" si="3"/>
        <v>117.59963445921808</v>
      </c>
      <c r="J111">
        <f t="shared" si="4"/>
        <v>0.10396557574265766</v>
      </c>
      <c r="R111">
        <f t="shared" si="5"/>
        <v>1.9528335180873146</v>
      </c>
    </row>
    <row r="112" spans="1:18" x14ac:dyDescent="0.2">
      <c r="A112">
        <f>SUM(Sheet1!R113:T113)*10^5</f>
        <v>579517.827873384</v>
      </c>
      <c r="E112">
        <f t="shared" si="3"/>
        <v>118.26894446395592</v>
      </c>
      <c r="J112">
        <f t="shared" si="4"/>
        <v>0.10455728846619526</v>
      </c>
      <c r="R112">
        <f t="shared" si="5"/>
        <v>1.9639479319819979</v>
      </c>
    </row>
    <row r="113" spans="1:18" x14ac:dyDescent="0.2">
      <c r="A113">
        <f>SUM(Sheet1!R114:T114)*10^5</f>
        <v>588143.4881057333</v>
      </c>
      <c r="E113">
        <f t="shared" si="3"/>
        <v>120.02928328688435</v>
      </c>
      <c r="J113">
        <f t="shared" si="4"/>
        <v>0.10611354023576496</v>
      </c>
      <c r="R113">
        <f t="shared" si="5"/>
        <v>1.9931797291080098</v>
      </c>
    </row>
    <row r="114" spans="1:18" x14ac:dyDescent="0.2">
      <c r="A114">
        <f>SUM(Sheet1!R115:T115)*10^5</f>
        <v>578833.02036892506</v>
      </c>
      <c r="E114">
        <f t="shared" si="3"/>
        <v>118.12918783039287</v>
      </c>
      <c r="J114">
        <f t="shared" si="4"/>
        <v>0.10443373469037738</v>
      </c>
      <c r="R114">
        <f t="shared" si="5"/>
        <v>1.9616271642376764</v>
      </c>
    </row>
    <row r="115" spans="1:18" x14ac:dyDescent="0.2">
      <c r="A115">
        <f>SUM(Sheet1!R116:T116)*10^5</f>
        <v>576679.42409323482</v>
      </c>
      <c r="E115">
        <f t="shared" si="3"/>
        <v>117.68967838637445</v>
      </c>
      <c r="J115">
        <f t="shared" si="4"/>
        <v>0.10404518031602211</v>
      </c>
      <c r="R115">
        <f t="shared" si="5"/>
        <v>1.9543287676249494</v>
      </c>
    </row>
    <row r="116" spans="1:18" x14ac:dyDescent="0.2">
      <c r="A116">
        <f>SUM(Sheet1!R117:T117)*10^5</f>
        <v>571781.92112463713</v>
      </c>
      <c r="E116">
        <f t="shared" si="3"/>
        <v>116.69018798461983</v>
      </c>
      <c r="J116">
        <f t="shared" si="4"/>
        <v>0.10316156706717554</v>
      </c>
      <c r="R116">
        <f t="shared" si="5"/>
        <v>1.9377314510896684</v>
      </c>
    </row>
    <row r="117" spans="1:18" x14ac:dyDescent="0.2">
      <c r="A117">
        <f>SUM(Sheet1!R118:T118)*10^5</f>
        <v>574480.95586747921</v>
      </c>
      <c r="E117">
        <f t="shared" si="3"/>
        <v>117.24101140152636</v>
      </c>
      <c r="J117">
        <f t="shared" si="4"/>
        <v>0.10364853009163193</v>
      </c>
      <c r="R117">
        <f t="shared" si="5"/>
        <v>1.9468783029147521</v>
      </c>
    </row>
    <row r="118" spans="1:18" x14ac:dyDescent="0.2">
      <c r="A118">
        <f>SUM(Sheet1!R119:T119)*10^5</f>
        <v>568675.60018697928</v>
      </c>
      <c r="E118">
        <f t="shared" si="3"/>
        <v>116.05624493611822</v>
      </c>
      <c r="J118">
        <f t="shared" si="4"/>
        <v>0.10260112098816684</v>
      </c>
      <c r="R118">
        <f t="shared" si="5"/>
        <v>1.9272043330474631</v>
      </c>
    </row>
    <row r="119" spans="1:18" x14ac:dyDescent="0.2">
      <c r="A119">
        <f>SUM(Sheet1!R120:T120)*10^5</f>
        <v>578421.93793462776</v>
      </c>
      <c r="E119">
        <f t="shared" si="3"/>
        <v>118.04529345604648</v>
      </c>
      <c r="J119">
        <f t="shared" si="4"/>
        <v>0.10435956671383051</v>
      </c>
      <c r="R119">
        <f t="shared" si="5"/>
        <v>1.9602340328137908</v>
      </c>
    </row>
    <row r="120" spans="1:18" x14ac:dyDescent="0.2">
      <c r="A120">
        <f>SUM(Sheet1!R121:T121)*10^5</f>
        <v>593714.33843162202</v>
      </c>
      <c r="E120">
        <f t="shared" si="3"/>
        <v>121.16619151665755</v>
      </c>
      <c r="J120">
        <f t="shared" si="4"/>
        <v>0.10711863960719137</v>
      </c>
      <c r="R120">
        <f t="shared" si="5"/>
        <v>2.0120589757000591</v>
      </c>
    </row>
    <row r="121" spans="1:18" x14ac:dyDescent="0.2">
      <c r="A121">
        <f>SUM(Sheet1!R122:T122)*10^5</f>
        <v>577102.26726534672</v>
      </c>
      <c r="E121">
        <f t="shared" si="3"/>
        <v>117.77597291129524</v>
      </c>
      <c r="J121">
        <f t="shared" si="4"/>
        <v>0.10412147017872522</v>
      </c>
      <c r="R121">
        <f t="shared" si="5"/>
        <v>1.9557617554183866</v>
      </c>
    </row>
    <row r="122" spans="1:18" x14ac:dyDescent="0.2">
      <c r="A122">
        <f>SUM(Sheet1!R123:T123)*10^5</f>
        <v>581000.75335349364</v>
      </c>
      <c r="E122">
        <f t="shared" si="3"/>
        <v>118.57158231703951</v>
      </c>
      <c r="J122">
        <f t="shared" si="4"/>
        <v>0.1048248396263842</v>
      </c>
      <c r="R122">
        <f t="shared" si="5"/>
        <v>1.9689734692301482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Shotaro Otsuka</dc:creator>
  <cp:lastModifiedBy>Andrew Latham</cp:lastModifiedBy>
  <dcterms:created xsi:type="dcterms:W3CDTF">2020-08-19T06:55:06Z</dcterms:created>
  <dcterms:modified xsi:type="dcterms:W3CDTF">2026-03-09T21:27:38Z</dcterms:modified>
</cp:coreProperties>
</file>